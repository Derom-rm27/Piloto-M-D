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erom\Downloads\"/>
    </mc:Choice>
  </mc:AlternateContent>
  <xr:revisionPtr revIDLastSave="0" documentId="13_ncr:1_{5B1E677C-9A7D-4968-965D-3101B0777684}" xr6:coauthVersionLast="47" xr6:coauthVersionMax="47" xr10:uidLastSave="{00000000-0000-0000-0000-000000000000}"/>
  <bookViews>
    <workbookView xWindow="0" yWindow="360" windowWidth="23256" windowHeight="12456" firstSheet="2" activeTab="5" xr2:uid="{00000000-000D-0000-FFFF-FFFF00000000}"/>
  </bookViews>
  <sheets>
    <sheet name="GALLETA DE QUINUA" sheetId="1" r:id="rId1"/>
    <sheet name="GALLETA KIWICHA" sheetId="2" r:id="rId2"/>
    <sheet name="GALLETA DE MACA" sheetId="3" r:id="rId3"/>
    <sheet name="GALLETAS CAJAMARQUINAS" sheetId="4" r:id="rId4"/>
    <sheet name="GALLETA DE CEREALES" sheetId="5" r:id="rId5"/>
    <sheet name="GALLETA DE INTEGRALE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SN1E58bV0xtKKG78+1vJBMT8KWnjevyhNx3kxtqTB5I="/>
    </ext>
  </extLst>
</workbook>
</file>

<file path=xl/calcChain.xml><?xml version="1.0" encoding="utf-8"?>
<calcChain xmlns="http://schemas.openxmlformats.org/spreadsheetml/2006/main">
  <c r="H19" i="1" l="1"/>
  <c r="H16" i="1"/>
  <c r="C20" i="1"/>
  <c r="H16" i="6"/>
  <c r="C23" i="6"/>
  <c r="C20" i="6"/>
  <c r="C22" i="6" s="1"/>
  <c r="E22" i="6" s="1"/>
  <c r="C25" i="6" s="1"/>
  <c r="I6" i="6"/>
  <c r="I5" i="6"/>
  <c r="C23" i="5"/>
  <c r="C20" i="5"/>
  <c r="I6" i="5"/>
  <c r="I5" i="5"/>
  <c r="C23" i="4"/>
  <c r="C20" i="4"/>
  <c r="I6" i="4"/>
  <c r="I5" i="4"/>
  <c r="C23" i="3"/>
  <c r="C20" i="3"/>
  <c r="I6" i="3"/>
  <c r="I5" i="3"/>
  <c r="C23" i="2"/>
  <c r="C20" i="2"/>
  <c r="C22" i="2" s="1"/>
  <c r="E22" i="2" s="1"/>
  <c r="C25" i="2" s="1"/>
  <c r="I6" i="2"/>
  <c r="I5" i="2"/>
  <c r="C23" i="1"/>
  <c r="D18" i="1"/>
  <c r="D17" i="1"/>
  <c r="D16" i="1"/>
  <c r="D15" i="1"/>
  <c r="D14" i="1"/>
  <c r="D13" i="1"/>
  <c r="D12" i="1"/>
  <c r="D11" i="1"/>
  <c r="D10" i="1"/>
  <c r="D9" i="1"/>
  <c r="D8" i="1"/>
  <c r="D7" i="1"/>
  <c r="I6" i="1"/>
  <c r="G9" i="1" s="1"/>
  <c r="D6" i="1"/>
  <c r="I5" i="1"/>
  <c r="C22" i="5" l="1"/>
  <c r="E22" i="5" s="1"/>
  <c r="C25" i="5" s="1"/>
  <c r="E20" i="5"/>
  <c r="E20" i="4"/>
  <c r="C22" i="4"/>
  <c r="E22" i="4" s="1"/>
  <c r="C25" i="4" s="1"/>
  <c r="E25" i="4" s="1"/>
  <c r="C30" i="4" s="1"/>
  <c r="E20" i="3"/>
  <c r="C22" i="3"/>
  <c r="E22" i="3" s="1"/>
  <c r="C25" i="3" s="1"/>
  <c r="D28" i="2"/>
  <c r="D28" i="5"/>
  <c r="D28" i="4"/>
  <c r="H19" i="4" s="1"/>
  <c r="E20" i="6"/>
  <c r="C22" i="1"/>
  <c r="E22" i="1" s="1"/>
  <c r="C25" i="1" s="1"/>
  <c r="E20" i="1"/>
  <c r="D28" i="6"/>
  <c r="E20" i="2"/>
  <c r="D28" i="3" l="1"/>
  <c r="H19" i="2"/>
  <c r="E25" i="2"/>
  <c r="C30" i="2" s="1"/>
  <c r="H19" i="5"/>
  <c r="E25" i="5"/>
  <c r="C30" i="5" s="1"/>
  <c r="H19" i="6"/>
  <c r="E25" i="6"/>
  <c r="C30" i="6" s="1"/>
  <c r="D33" i="4"/>
  <c r="E30" i="4" s="1"/>
  <c r="C35" i="4" s="1"/>
  <c r="E35" i="4" s="1"/>
  <c r="C37" i="4" s="1"/>
  <c r="D33" i="5"/>
  <c r="E30" i="5"/>
  <c r="C35" i="5" s="1"/>
  <c r="E35" i="5" s="1"/>
  <c r="C37" i="5" s="1"/>
  <c r="D28" i="1"/>
  <c r="H19" i="3" l="1"/>
  <c r="E25" i="3"/>
  <c r="C30" i="3" s="1"/>
  <c r="D33" i="3" s="1"/>
  <c r="E30" i="3" s="1"/>
  <c r="C35" i="3" s="1"/>
  <c r="E35" i="3" s="1"/>
  <c r="C37" i="3" s="1"/>
  <c r="D33" i="2"/>
  <c r="E30" i="2"/>
  <c r="C35" i="2" s="1"/>
  <c r="E35" i="2" s="1"/>
  <c r="C37" i="2" s="1"/>
  <c r="D41" i="2" s="1"/>
  <c r="D33" i="6"/>
  <c r="E30" i="6"/>
  <c r="C35" i="6" s="1"/>
  <c r="E35" i="6" s="1"/>
  <c r="C37" i="6" s="1"/>
  <c r="D41" i="4"/>
  <c r="E37" i="4" s="1"/>
  <c r="C43" i="4" s="1"/>
  <c r="D39" i="4"/>
  <c r="D39" i="5"/>
  <c r="D41" i="5"/>
  <c r="E37" i="5" s="1"/>
  <c r="C43" i="5" s="1"/>
  <c r="E25" i="1"/>
  <c r="C30" i="1" s="1"/>
  <c r="D41" i="6"/>
  <c r="D39" i="6"/>
  <c r="E37" i="6"/>
  <c r="C43" i="6" s="1"/>
  <c r="D39" i="2"/>
  <c r="E37" i="2" s="1"/>
  <c r="C43" i="2" s="1"/>
  <c r="D41" i="3" l="1"/>
  <c r="D39" i="3"/>
  <c r="E37" i="3"/>
  <c r="C43" i="3" s="1"/>
  <c r="D45" i="3" s="1"/>
  <c r="D45" i="5"/>
  <c r="E43" i="5" s="1"/>
  <c r="C47" i="5" s="1"/>
  <c r="E47" i="5" s="1"/>
  <c r="F9" i="5" s="1"/>
  <c r="H9" i="5" s="1"/>
  <c r="F12" i="5" s="1"/>
  <c r="H12" i="5" s="1"/>
  <c r="F15" i="5" s="1"/>
  <c r="H15" i="5" s="1"/>
  <c r="H16" i="5" s="1"/>
  <c r="D45" i="4"/>
  <c r="H20" i="4" s="1"/>
  <c r="E43" i="4"/>
  <c r="C47" i="4" s="1"/>
  <c r="E47" i="4" s="1"/>
  <c r="F9" i="4" s="1"/>
  <c r="H9" i="4" s="1"/>
  <c r="F12" i="4" s="1"/>
  <c r="H12" i="4" s="1"/>
  <c r="F15" i="4" s="1"/>
  <c r="H15" i="4" s="1"/>
  <c r="H16" i="4" s="1"/>
  <c r="D45" i="2"/>
  <c r="H20" i="5"/>
  <c r="D45" i="6"/>
  <c r="D33" i="1"/>
  <c r="E30" i="1" s="1"/>
  <c r="C35" i="1" s="1"/>
  <c r="E35" i="1" s="1"/>
  <c r="C37" i="1" s="1"/>
  <c r="E43" i="2" l="1"/>
  <c r="C47" i="2" s="1"/>
  <c r="E47" i="2" s="1"/>
  <c r="F9" i="2" s="1"/>
  <c r="H9" i="2" s="1"/>
  <c r="F12" i="2" s="1"/>
  <c r="H12" i="2" s="1"/>
  <c r="F15" i="2" s="1"/>
  <c r="H15" i="2" s="1"/>
  <c r="H16" i="2" s="1"/>
  <c r="H20" i="2"/>
  <c r="H20" i="3"/>
  <c r="E43" i="3"/>
  <c r="C47" i="3" s="1"/>
  <c r="E47" i="3" s="1"/>
  <c r="F9" i="3" s="1"/>
  <c r="H9" i="3" s="1"/>
  <c r="F12" i="3" s="1"/>
  <c r="H12" i="3" s="1"/>
  <c r="F15" i="3" s="1"/>
  <c r="H15" i="3" s="1"/>
  <c r="H16" i="3" s="1"/>
  <c r="H20" i="6"/>
  <c r="E43" i="6"/>
  <c r="C47" i="6" s="1"/>
  <c r="E47" i="6" s="1"/>
  <c r="F9" i="6" s="1"/>
  <c r="H9" i="6" s="1"/>
  <c r="F12" i="6" s="1"/>
  <c r="H12" i="6" s="1"/>
  <c r="F15" i="6" s="1"/>
  <c r="H15" i="6" s="1"/>
  <c r="D41" i="1"/>
  <c r="D39" i="1"/>
  <c r="E37" i="1" s="1"/>
  <c r="C43" i="1" s="1"/>
  <c r="D45" i="1" l="1"/>
  <c r="H20" i="1" l="1"/>
  <c r="E43" i="1"/>
  <c r="C47" i="1" s="1"/>
  <c r="E47" i="1" s="1"/>
  <c r="F9" i="1" s="1"/>
  <c r="H9" i="1" s="1"/>
  <c r="F12" i="1" s="1"/>
  <c r="H12" i="1" s="1"/>
  <c r="F15" i="1" s="1"/>
  <c r="H15" i="1" s="1"/>
</calcChain>
</file>

<file path=xl/sharedStrings.xml><?xml version="1.0" encoding="utf-8"?>
<sst xmlns="http://schemas.openxmlformats.org/spreadsheetml/2006/main" count="288" uniqueCount="59">
  <si>
    <t>GALLETA DE QUINUA</t>
  </si>
  <si>
    <t>PRESENTACION</t>
  </si>
  <si>
    <t>CANTIDAD DE GALLETA</t>
  </si>
  <si>
    <t>PESO GALLETA gr</t>
  </si>
  <si>
    <t>UNIDADE POR CAJA</t>
  </si>
  <si>
    <t>INSUMO</t>
  </si>
  <si>
    <t>CANTIDAD</t>
  </si>
  <si>
    <t>GALLETA</t>
  </si>
  <si>
    <t>Harina de trigo</t>
  </si>
  <si>
    <t>Harina de quinua</t>
  </si>
  <si>
    <t>Azucar</t>
  </si>
  <si>
    <t xml:space="preserve">CANTIDAD DE GALLETA </t>
  </si>
  <si>
    <t>Manteca</t>
  </si>
  <si>
    <t>UNID. GALLETA</t>
  </si>
  <si>
    <t>Leche en polvo</t>
  </si>
  <si>
    <t>Cloruro de sodio</t>
  </si>
  <si>
    <t>CANTIDAD DE EMPAQUES</t>
  </si>
  <si>
    <t>Bicarbonato de sodio</t>
  </si>
  <si>
    <t>EMPAQUES</t>
  </si>
  <si>
    <t>Bicarbonato de amonio</t>
  </si>
  <si>
    <t>Lecitina de soya</t>
  </si>
  <si>
    <t>CANTIDAD DE CAJAS</t>
  </si>
  <si>
    <t>Propianato de calcio</t>
  </si>
  <si>
    <t>CAJAS</t>
  </si>
  <si>
    <t>Bht</t>
  </si>
  <si>
    <t>AGUA</t>
  </si>
  <si>
    <t>MERMA GALLETA</t>
  </si>
  <si>
    <t>TOTAL Kg</t>
  </si>
  <si>
    <t>MERMA CRUDO</t>
  </si>
  <si>
    <t>Total</t>
  </si>
  <si>
    <t>DOSIFICACION PESADO</t>
  </si>
  <si>
    <t>MERMA COCIDO</t>
  </si>
  <si>
    <t>TOTAL</t>
  </si>
  <si>
    <t>CREMADO AMASADO</t>
  </si>
  <si>
    <t>MANTECA</t>
  </si>
  <si>
    <t>TROQUELADO</t>
  </si>
  <si>
    <t>MERMA 1%</t>
  </si>
  <si>
    <t>HORNEADO</t>
  </si>
  <si>
    <t>AGUA 25%</t>
  </si>
  <si>
    <t>ENFRIADO</t>
  </si>
  <si>
    <t>SELECCIÓN</t>
  </si>
  <si>
    <t>GALLETAS QUEMADAS 0.3%</t>
  </si>
  <si>
    <t>GALLETAS DEFECTUOSAS 0.3%</t>
  </si>
  <si>
    <t>ENVASADO</t>
  </si>
  <si>
    <t>MERMA 0.5%</t>
  </si>
  <si>
    <t>PRODUCTO FINAL</t>
  </si>
  <si>
    <t>GALLETA DE KIWICHA</t>
  </si>
  <si>
    <t>Harina de kiwicha</t>
  </si>
  <si>
    <t>Esencia</t>
  </si>
  <si>
    <t>Ajonjoli</t>
  </si>
  <si>
    <t>GALLETA DE MACA</t>
  </si>
  <si>
    <t>Harina de maca</t>
  </si>
  <si>
    <t>GALLETAS CAJAMARQUINAS</t>
  </si>
  <si>
    <t>Anis</t>
  </si>
  <si>
    <t>GALLETA DE CEREALES</t>
  </si>
  <si>
    <t>Harina de maiz</t>
  </si>
  <si>
    <t>Avena</t>
  </si>
  <si>
    <t>Salvado</t>
  </si>
  <si>
    <t>GALLETA INTEGRALES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</si>
</sst>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4" fillId="0" borderId="3" xfId="0" applyFont="1" applyBorder="1" applyAlignment="1">
      <alignment wrapText="1"/>
    </xf>
    <xf numFmtId="0" fontId="2" fillId="0" borderId="3" xfId="0" applyFont="1" applyBorder="1"/>
    <xf numFmtId="0" fontId="4" fillId="0" borderId="3" xfId="0" applyFont="1" applyBorder="1"/>
    <xf numFmtId="0" fontId="4" fillId="2" borderId="3" xfId="0" applyFont="1" applyFill="1" applyBorder="1"/>
    <xf numFmtId="0" fontId="5" fillId="0" borderId="0" xfId="0" applyFont="1"/>
    <xf numFmtId="0" fontId="2" fillId="0" borderId="0" xfId="0" applyFont="1"/>
    <xf numFmtId="0" fontId="4" fillId="2" borderId="6" xfId="0" applyFont="1" applyFill="1" applyBorder="1"/>
    <xf numFmtId="0" fontId="4" fillId="0" borderId="2" xfId="0" applyFont="1" applyBorder="1"/>
    <xf numFmtId="0" fontId="4" fillId="3" borderId="3" xfId="0" applyFont="1" applyFill="1" applyBorder="1"/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4" fillId="3" borderId="7" xfId="0" applyFont="1" applyFill="1" applyBorder="1"/>
    <xf numFmtId="0" fontId="1" fillId="0" borderId="0" xfId="0" applyFont="1"/>
    <xf numFmtId="0" fontId="4" fillId="0" borderId="4" xfId="0" applyFont="1" applyBorder="1" applyAlignment="1">
      <alignment horizontal="center"/>
    </xf>
    <xf numFmtId="0" fontId="3" fillId="0" borderId="5" xfId="0" applyFont="1" applyBorder="1"/>
    <xf numFmtId="0" fontId="4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0" fontId="4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J1000"/>
  <sheetViews>
    <sheetView workbookViewId="0">
      <selection activeCell="D25" sqref="D25:D26"/>
    </sheetView>
  </sheetViews>
  <sheetFormatPr baseColWidth="10" defaultColWidth="14.44140625" defaultRowHeight="15" customHeight="1" x14ac:dyDescent="0.3"/>
  <cols>
    <col min="1" max="1" width="10.6640625" customWidth="1"/>
    <col min="2" max="2" width="20.6640625" customWidth="1"/>
    <col min="3" max="3" width="10.6640625" customWidth="1"/>
    <col min="4" max="4" width="26.109375" customWidth="1"/>
    <col min="5" max="6" width="10.6640625" customWidth="1"/>
    <col min="7" max="7" width="15.5546875" customWidth="1"/>
    <col min="8" max="8" width="10.6640625" customWidth="1"/>
    <col min="9" max="9" width="14.5546875" customWidth="1"/>
    <col min="10" max="26" width="10.6640625" customWidth="1"/>
  </cols>
  <sheetData>
    <row r="4" spans="2:10" ht="43.2" x14ac:dyDescent="0.3">
      <c r="B4" s="20" t="s">
        <v>0</v>
      </c>
      <c r="C4" s="21"/>
      <c r="D4">
        <v>16</v>
      </c>
      <c r="G4" s="1" t="s">
        <v>1</v>
      </c>
      <c r="H4" s="1" t="s">
        <v>2</v>
      </c>
      <c r="I4" s="1" t="s">
        <v>3</v>
      </c>
      <c r="J4" s="1" t="s">
        <v>4</v>
      </c>
    </row>
    <row r="5" spans="2:10" ht="14.4" x14ac:dyDescent="0.3">
      <c r="B5" s="2" t="s">
        <v>5</v>
      </c>
      <c r="C5" s="2" t="s">
        <v>6</v>
      </c>
      <c r="F5" s="19" t="s">
        <v>7</v>
      </c>
      <c r="G5" s="3">
        <v>48</v>
      </c>
      <c r="H5" s="4">
        <v>8</v>
      </c>
      <c r="I5" s="4">
        <f t="shared" ref="I5:I6" si="0">(G5/H5)/1000</f>
        <v>6.0000000000000001E-3</v>
      </c>
      <c r="J5" s="4">
        <v>160</v>
      </c>
    </row>
    <row r="6" spans="2:10" ht="14.4" x14ac:dyDescent="0.3">
      <c r="B6" s="3" t="s">
        <v>8</v>
      </c>
      <c r="C6" s="3">
        <v>82</v>
      </c>
      <c r="D6" s="5">
        <f t="shared" ref="D6:D18" si="1">C6*1000</f>
        <v>82000</v>
      </c>
      <c r="F6" s="18"/>
      <c r="G6" s="3">
        <v>32</v>
      </c>
      <c r="H6" s="4">
        <v>4</v>
      </c>
      <c r="I6" s="4">
        <f t="shared" si="0"/>
        <v>8.0000000000000002E-3</v>
      </c>
      <c r="J6" s="4">
        <v>200</v>
      </c>
    </row>
    <row r="7" spans="2:10" ht="14.4" x14ac:dyDescent="0.3">
      <c r="B7" s="3" t="s">
        <v>9</v>
      </c>
      <c r="C7" s="3">
        <v>2</v>
      </c>
      <c r="D7" s="5">
        <f t="shared" si="1"/>
        <v>2000</v>
      </c>
    </row>
    <row r="8" spans="2:10" ht="14.4" x14ac:dyDescent="0.3">
      <c r="B8" s="3" t="s">
        <v>10</v>
      </c>
      <c r="C8" s="3">
        <v>13</v>
      </c>
      <c r="D8" s="5">
        <f t="shared" si="1"/>
        <v>13000</v>
      </c>
      <c r="F8" s="6" t="s">
        <v>11</v>
      </c>
    </row>
    <row r="9" spans="2:10" ht="14.4" x14ac:dyDescent="0.3">
      <c r="B9" s="3" t="s">
        <v>12</v>
      </c>
      <c r="C9" s="3">
        <v>13</v>
      </c>
      <c r="D9" s="5">
        <f t="shared" si="1"/>
        <v>13000</v>
      </c>
      <c r="F9" s="5">
        <f>E47</f>
        <v>89.233651774575009</v>
      </c>
      <c r="G9" s="7">
        <f>I6</f>
        <v>8.0000000000000002E-3</v>
      </c>
      <c r="H9" s="8">
        <f>F9/G9</f>
        <v>11154.206471821875</v>
      </c>
      <c r="I9" s="3" t="s">
        <v>13</v>
      </c>
    </row>
    <row r="10" spans="2:10" ht="14.4" x14ac:dyDescent="0.3">
      <c r="B10" s="3" t="s">
        <v>14</v>
      </c>
      <c r="C10" s="3">
        <v>1</v>
      </c>
      <c r="D10" s="5">
        <f t="shared" si="1"/>
        <v>1000</v>
      </c>
    </row>
    <row r="11" spans="2:10" ht="14.4" x14ac:dyDescent="0.3">
      <c r="B11" s="3" t="s">
        <v>15</v>
      </c>
      <c r="C11" s="3">
        <v>0.45</v>
      </c>
      <c r="D11" s="5">
        <f t="shared" si="1"/>
        <v>450</v>
      </c>
      <c r="F11" s="6" t="s">
        <v>16</v>
      </c>
    </row>
    <row r="12" spans="2:10" ht="14.4" x14ac:dyDescent="0.3">
      <c r="B12" s="3" t="s">
        <v>17</v>
      </c>
      <c r="C12" s="3">
        <v>0.45</v>
      </c>
      <c r="D12" s="5">
        <f t="shared" si="1"/>
        <v>450</v>
      </c>
      <c r="F12" s="5">
        <f>H9</f>
        <v>11154.206471821875</v>
      </c>
      <c r="G12" s="7">
        <v>4</v>
      </c>
      <c r="H12" s="8">
        <f>F12/G12</f>
        <v>2788.5516179554688</v>
      </c>
      <c r="I12" s="3" t="s">
        <v>18</v>
      </c>
    </row>
    <row r="13" spans="2:10" ht="14.4" x14ac:dyDescent="0.3">
      <c r="B13" s="3" t="s">
        <v>19</v>
      </c>
      <c r="C13" s="3">
        <v>0.15</v>
      </c>
      <c r="D13" s="5">
        <f t="shared" si="1"/>
        <v>150</v>
      </c>
    </row>
    <row r="14" spans="2:10" ht="14.4" x14ac:dyDescent="0.3">
      <c r="B14" s="3" t="s">
        <v>20</v>
      </c>
      <c r="C14" s="3">
        <v>0.4</v>
      </c>
      <c r="D14" s="5">
        <f t="shared" si="1"/>
        <v>400</v>
      </c>
      <c r="F14" s="6" t="s">
        <v>21</v>
      </c>
    </row>
    <row r="15" spans="2:10" ht="14.4" x14ac:dyDescent="0.3">
      <c r="B15" s="3" t="s">
        <v>22</v>
      </c>
      <c r="C15" s="3">
        <v>0.04</v>
      </c>
      <c r="D15" s="5">
        <f t="shared" si="1"/>
        <v>40</v>
      </c>
      <c r="F15" s="5">
        <f>H12</f>
        <v>2788.5516179554688</v>
      </c>
      <c r="G15" s="7">
        <v>250</v>
      </c>
      <c r="H15" s="8">
        <f>F15/G15</f>
        <v>11.154206471821876</v>
      </c>
      <c r="I15" s="3" t="s">
        <v>23</v>
      </c>
    </row>
    <row r="16" spans="2:10" ht="14.4" x14ac:dyDescent="0.3">
      <c r="B16" s="3" t="s">
        <v>24</v>
      </c>
      <c r="C16" s="3">
        <v>2.3E-2</v>
      </c>
      <c r="D16" s="5">
        <f t="shared" si="1"/>
        <v>23</v>
      </c>
      <c r="H16" s="3">
        <f>ROUND(H15,1)</f>
        <v>11.2</v>
      </c>
      <c r="I16" s="3" t="s">
        <v>23</v>
      </c>
    </row>
    <row r="17" spans="2:8" ht="14.4" x14ac:dyDescent="0.3">
      <c r="B17" s="3"/>
      <c r="C17" s="3"/>
      <c r="D17" s="5">
        <f t="shared" si="1"/>
        <v>0</v>
      </c>
    </row>
    <row r="18" spans="2:8" ht="14.4" x14ac:dyDescent="0.3">
      <c r="B18" s="3" t="s">
        <v>25</v>
      </c>
      <c r="C18" s="3">
        <v>9</v>
      </c>
      <c r="D18" s="5">
        <f t="shared" si="1"/>
        <v>9000</v>
      </c>
      <c r="G18" s="2" t="s">
        <v>26</v>
      </c>
      <c r="H18" s="2" t="s">
        <v>27</v>
      </c>
    </row>
    <row r="19" spans="2:8" ht="14.4" x14ac:dyDescent="0.3">
      <c r="G19" s="2" t="s">
        <v>28</v>
      </c>
      <c r="H19" s="3">
        <f>D28</f>
        <v>1.2151300000000003</v>
      </c>
    </row>
    <row r="20" spans="2:8" ht="14.4" x14ac:dyDescent="0.3">
      <c r="B20" s="5" t="s">
        <v>29</v>
      </c>
      <c r="C20" s="9">
        <f>SUM(C6:C18)-C9</f>
        <v>108.51300000000002</v>
      </c>
      <c r="D20" s="10" t="s">
        <v>30</v>
      </c>
      <c r="E20" s="10">
        <f>C20</f>
        <v>108.51300000000002</v>
      </c>
      <c r="G20" s="2" t="s">
        <v>31</v>
      </c>
      <c r="H20" s="3">
        <f>D39+D41+D45</f>
        <v>0.9897507254250002</v>
      </c>
    </row>
    <row r="21" spans="2:8" ht="15.75" customHeight="1" x14ac:dyDescent="0.3"/>
    <row r="22" spans="2:8" ht="15.75" customHeight="1" x14ac:dyDescent="0.3">
      <c r="B22" s="5" t="s">
        <v>32</v>
      </c>
      <c r="C22" s="9">
        <f>C20</f>
        <v>108.51300000000002</v>
      </c>
      <c r="D22" s="19" t="s">
        <v>33</v>
      </c>
      <c r="E22" s="22">
        <f>C22+C23</f>
        <v>121.51300000000002</v>
      </c>
    </row>
    <row r="23" spans="2:8" ht="15.75" customHeight="1" x14ac:dyDescent="0.3">
      <c r="B23" s="5" t="s">
        <v>34</v>
      </c>
      <c r="C23" s="9">
        <f>C9</f>
        <v>13</v>
      </c>
      <c r="D23" s="18"/>
      <c r="E23" s="18"/>
    </row>
    <row r="24" spans="2:8" ht="15.75" customHeight="1" x14ac:dyDescent="0.3"/>
    <row r="25" spans="2:8" ht="15.75" customHeight="1" x14ac:dyDescent="0.3">
      <c r="C25" s="19">
        <f>E22</f>
        <v>121.51300000000002</v>
      </c>
      <c r="D25" s="19" t="s">
        <v>35</v>
      </c>
      <c r="E25" s="19">
        <f>C25-D28</f>
        <v>120.29787000000002</v>
      </c>
    </row>
    <row r="26" spans="2:8" ht="15.75" customHeight="1" x14ac:dyDescent="0.3">
      <c r="C26" s="18"/>
      <c r="D26" s="18"/>
      <c r="E26" s="18"/>
    </row>
    <row r="27" spans="2:8" ht="15.75" customHeight="1" x14ac:dyDescent="0.3">
      <c r="D27" s="11" t="s">
        <v>36</v>
      </c>
    </row>
    <row r="28" spans="2:8" ht="15.75" customHeight="1" x14ac:dyDescent="0.3">
      <c r="D28" s="11">
        <f>C25*1/100</f>
        <v>1.2151300000000003</v>
      </c>
    </row>
    <row r="29" spans="2:8" ht="15.75" customHeight="1" x14ac:dyDescent="0.3"/>
    <row r="30" spans="2:8" ht="15.75" customHeight="1" x14ac:dyDescent="0.3">
      <c r="C30" s="17">
        <f>E25</f>
        <v>120.29787000000002</v>
      </c>
      <c r="D30" s="19" t="s">
        <v>37</v>
      </c>
      <c r="E30" s="17">
        <f>C30-D33</f>
        <v>90.22340250000002</v>
      </c>
    </row>
    <row r="31" spans="2:8" ht="15.75" customHeight="1" x14ac:dyDescent="0.3">
      <c r="C31" s="18"/>
      <c r="D31" s="18"/>
      <c r="E31" s="18"/>
    </row>
    <row r="32" spans="2:8" ht="15.75" customHeight="1" x14ac:dyDescent="0.3">
      <c r="D32" s="12" t="s">
        <v>38</v>
      </c>
    </row>
    <row r="33" spans="3:5" ht="15.75" customHeight="1" x14ac:dyDescent="0.3">
      <c r="D33" s="12">
        <f>C30*0.25</f>
        <v>30.074467500000004</v>
      </c>
    </row>
    <row r="34" spans="3:5" ht="15.75" customHeight="1" x14ac:dyDescent="0.3"/>
    <row r="35" spans="3:5" ht="15.75" customHeight="1" x14ac:dyDescent="0.3">
      <c r="C35" s="3">
        <f>E30</f>
        <v>90.22340250000002</v>
      </c>
      <c r="D35" s="10" t="s">
        <v>39</v>
      </c>
      <c r="E35" s="3">
        <f>C35</f>
        <v>90.22340250000002</v>
      </c>
    </row>
    <row r="36" spans="3:5" ht="15.75" customHeight="1" x14ac:dyDescent="0.3">
      <c r="D36" s="13"/>
    </row>
    <row r="37" spans="3:5" ht="15.75" customHeight="1" x14ac:dyDescent="0.3">
      <c r="C37" s="3">
        <f>E35</f>
        <v>90.22340250000002</v>
      </c>
      <c r="D37" s="10" t="s">
        <v>40</v>
      </c>
      <c r="E37" s="3">
        <f>C37-D39-D41</f>
        <v>89.682062085000013</v>
      </c>
    </row>
    <row r="38" spans="3:5" ht="15.75" customHeight="1" x14ac:dyDescent="0.3">
      <c r="D38" s="12" t="s">
        <v>41</v>
      </c>
    </row>
    <row r="39" spans="3:5" ht="15.75" customHeight="1" x14ac:dyDescent="0.3">
      <c r="D39" s="12">
        <f>C37*0.3/100</f>
        <v>0.27067020750000004</v>
      </c>
    </row>
    <row r="40" spans="3:5" ht="15.75" customHeight="1" x14ac:dyDescent="0.3">
      <c r="D40" s="11" t="s">
        <v>42</v>
      </c>
    </row>
    <row r="41" spans="3:5" ht="15.75" customHeight="1" x14ac:dyDescent="0.3">
      <c r="D41" s="12">
        <f>C37*0.3/100</f>
        <v>0.27067020750000004</v>
      </c>
    </row>
    <row r="42" spans="3:5" ht="15.75" customHeight="1" x14ac:dyDescent="0.3"/>
    <row r="43" spans="3:5" ht="15.75" customHeight="1" x14ac:dyDescent="0.3">
      <c r="C43" s="3">
        <f>E37</f>
        <v>89.682062085000013</v>
      </c>
      <c r="D43" s="14" t="s">
        <v>43</v>
      </c>
      <c r="E43" s="3">
        <f>C43-D45</f>
        <v>89.233651774575009</v>
      </c>
    </row>
    <row r="44" spans="3:5" ht="15.75" customHeight="1" x14ac:dyDescent="0.3">
      <c r="D44" s="12" t="s">
        <v>44</v>
      </c>
    </row>
    <row r="45" spans="3:5" ht="15.75" customHeight="1" x14ac:dyDescent="0.3">
      <c r="D45" s="12">
        <f>C43*0.5/100</f>
        <v>0.44841031042500007</v>
      </c>
    </row>
    <row r="46" spans="3:5" ht="15.75" customHeight="1" x14ac:dyDescent="0.3"/>
    <row r="47" spans="3:5" ht="15.75" customHeight="1" x14ac:dyDescent="0.3">
      <c r="C47" s="10">
        <f>E43</f>
        <v>89.233651774575009</v>
      </c>
      <c r="D47" s="10" t="s">
        <v>45</v>
      </c>
      <c r="E47" s="10">
        <f>C47</f>
        <v>89.233651774575009</v>
      </c>
    </row>
    <row r="48" spans="3:5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0">
    <mergeCell ref="C30:C31"/>
    <mergeCell ref="D30:D31"/>
    <mergeCell ref="E30:E31"/>
    <mergeCell ref="B4:C4"/>
    <mergeCell ref="F5:F6"/>
    <mergeCell ref="D22:D23"/>
    <mergeCell ref="E22:E23"/>
    <mergeCell ref="C25:C26"/>
    <mergeCell ref="D25:D26"/>
    <mergeCell ref="E25:E26"/>
  </mergeCells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J1000"/>
  <sheetViews>
    <sheetView workbookViewId="0">
      <selection activeCell="B7" sqref="B7:C7"/>
    </sheetView>
  </sheetViews>
  <sheetFormatPr baseColWidth="10" defaultColWidth="14.44140625" defaultRowHeight="15" customHeight="1" x14ac:dyDescent="0.3"/>
  <cols>
    <col min="1" max="1" width="10.6640625" customWidth="1"/>
    <col min="2" max="2" width="20.6640625" customWidth="1"/>
    <col min="3" max="3" width="10.6640625" customWidth="1"/>
    <col min="4" max="4" width="26.109375" customWidth="1"/>
    <col min="5" max="6" width="10.6640625" customWidth="1"/>
    <col min="7" max="7" width="15.5546875" customWidth="1"/>
    <col min="8" max="8" width="10.6640625" customWidth="1"/>
    <col min="9" max="9" width="14.5546875" customWidth="1"/>
    <col min="10" max="26" width="10.6640625" customWidth="1"/>
  </cols>
  <sheetData>
    <row r="4" spans="2:10" ht="43.2" x14ac:dyDescent="0.3">
      <c r="B4" s="20" t="s">
        <v>46</v>
      </c>
      <c r="C4" s="21"/>
      <c r="G4" s="1" t="s">
        <v>1</v>
      </c>
      <c r="H4" s="1" t="s">
        <v>2</v>
      </c>
      <c r="I4" s="1" t="s">
        <v>3</v>
      </c>
      <c r="J4" s="1" t="s">
        <v>4</v>
      </c>
    </row>
    <row r="5" spans="2:10" ht="14.4" x14ac:dyDescent="0.3">
      <c r="B5" s="2" t="s">
        <v>5</v>
      </c>
      <c r="C5" s="2" t="s">
        <v>6</v>
      </c>
      <c r="F5" s="19" t="s">
        <v>7</v>
      </c>
      <c r="G5" s="3">
        <v>48</v>
      </c>
      <c r="H5" s="4">
        <v>8</v>
      </c>
      <c r="I5" s="4">
        <f t="shared" ref="I5:I6" si="0">(G5/H5)/1000</f>
        <v>6.0000000000000001E-3</v>
      </c>
      <c r="J5" s="4">
        <v>160</v>
      </c>
    </row>
    <row r="6" spans="2:10" ht="14.4" x14ac:dyDescent="0.3">
      <c r="B6" s="3" t="s">
        <v>8</v>
      </c>
      <c r="C6" s="3">
        <v>82</v>
      </c>
      <c r="F6" s="18"/>
      <c r="G6" s="3">
        <v>30</v>
      </c>
      <c r="H6" s="4">
        <v>4</v>
      </c>
      <c r="I6" s="4">
        <f t="shared" si="0"/>
        <v>7.4999999999999997E-3</v>
      </c>
      <c r="J6" s="4">
        <v>200</v>
      </c>
    </row>
    <row r="7" spans="2:10" ht="14.4" x14ac:dyDescent="0.3">
      <c r="B7" s="3" t="s">
        <v>47</v>
      </c>
      <c r="C7" s="3">
        <v>2</v>
      </c>
    </row>
    <row r="8" spans="2:10" ht="14.4" x14ac:dyDescent="0.3">
      <c r="B8" s="3" t="s">
        <v>10</v>
      </c>
      <c r="C8" s="3">
        <v>13</v>
      </c>
      <c r="F8" s="6" t="s">
        <v>11</v>
      </c>
    </row>
    <row r="9" spans="2:10" ht="14.4" x14ac:dyDescent="0.3">
      <c r="B9" s="3" t="s">
        <v>12</v>
      </c>
      <c r="C9" s="3">
        <v>13</v>
      </c>
      <c r="F9" s="5">
        <f>E47</f>
        <v>90.208140561000022</v>
      </c>
      <c r="G9" s="7">
        <v>7.4999999999999997E-3</v>
      </c>
      <c r="H9" s="8">
        <f>F9/G9</f>
        <v>12027.752074800002</v>
      </c>
      <c r="I9" s="3" t="s">
        <v>13</v>
      </c>
    </row>
    <row r="10" spans="2:10" ht="14.4" x14ac:dyDescent="0.3">
      <c r="B10" s="3" t="s">
        <v>14</v>
      </c>
      <c r="C10" s="3">
        <v>1</v>
      </c>
    </row>
    <row r="11" spans="2:10" ht="14.4" x14ac:dyDescent="0.3">
      <c r="B11" s="3" t="s">
        <v>15</v>
      </c>
      <c r="C11" s="3">
        <v>0.45</v>
      </c>
      <c r="F11" s="6" t="s">
        <v>16</v>
      </c>
    </row>
    <row r="12" spans="2:10" ht="14.4" x14ac:dyDescent="0.3">
      <c r="B12" s="3" t="s">
        <v>17</v>
      </c>
      <c r="C12" s="3">
        <v>0.45</v>
      </c>
      <c r="F12" s="5">
        <f>H9</f>
        <v>12027.752074800002</v>
      </c>
      <c r="G12" s="7">
        <v>4</v>
      </c>
      <c r="H12" s="8">
        <f>F12/G12</f>
        <v>3006.9380187000006</v>
      </c>
      <c r="I12" s="3" t="s">
        <v>18</v>
      </c>
    </row>
    <row r="13" spans="2:10" ht="14.4" x14ac:dyDescent="0.3">
      <c r="B13" s="3" t="s">
        <v>19</v>
      </c>
      <c r="C13" s="3">
        <v>0.15</v>
      </c>
    </row>
    <row r="14" spans="2:10" ht="14.4" x14ac:dyDescent="0.3">
      <c r="B14" s="3" t="s">
        <v>20</v>
      </c>
      <c r="C14" s="3">
        <v>0.4</v>
      </c>
      <c r="F14" s="6" t="s">
        <v>21</v>
      </c>
    </row>
    <row r="15" spans="2:10" ht="14.4" x14ac:dyDescent="0.3">
      <c r="B15" s="3" t="s">
        <v>22</v>
      </c>
      <c r="C15" s="3">
        <v>0.04</v>
      </c>
      <c r="F15" s="5">
        <f>H12</f>
        <v>3006.9380187000006</v>
      </c>
      <c r="G15" s="7">
        <v>200</v>
      </c>
      <c r="H15" s="8">
        <f>F15/G15</f>
        <v>15.034690093500004</v>
      </c>
      <c r="I15" s="3" t="s">
        <v>23</v>
      </c>
    </row>
    <row r="16" spans="2:10" ht="14.4" x14ac:dyDescent="0.3">
      <c r="B16" s="3" t="s">
        <v>24</v>
      </c>
      <c r="C16" s="3">
        <v>0.23</v>
      </c>
      <c r="H16" s="3">
        <f>ROUND(H15,1)</f>
        <v>15</v>
      </c>
      <c r="I16" s="3" t="s">
        <v>23</v>
      </c>
    </row>
    <row r="17" spans="2:8" ht="14.4" x14ac:dyDescent="0.3">
      <c r="B17" s="3" t="s">
        <v>48</v>
      </c>
      <c r="C17" s="3">
        <v>0.12</v>
      </c>
    </row>
    <row r="18" spans="2:8" ht="14.4" x14ac:dyDescent="0.3">
      <c r="B18" s="3" t="s">
        <v>25</v>
      </c>
      <c r="C18" s="3">
        <v>9</v>
      </c>
      <c r="G18" s="2" t="s">
        <v>26</v>
      </c>
      <c r="H18" s="2" t="s">
        <v>27</v>
      </c>
    </row>
    <row r="19" spans="2:8" ht="14.4" x14ac:dyDescent="0.3">
      <c r="B19" s="3" t="s">
        <v>49</v>
      </c>
      <c r="C19" s="3">
        <v>1</v>
      </c>
      <c r="G19" s="2" t="s">
        <v>28</v>
      </c>
      <c r="H19" s="3">
        <f>D28</f>
        <v>1.2284000000000004</v>
      </c>
    </row>
    <row r="20" spans="2:8" ht="14.4" x14ac:dyDescent="0.3">
      <c r="B20" s="5" t="s">
        <v>29</v>
      </c>
      <c r="C20" s="15">
        <f>SUM(C6:C19)-C9</f>
        <v>109.84000000000003</v>
      </c>
      <c r="D20" s="10" t="s">
        <v>30</v>
      </c>
      <c r="E20" s="10">
        <f>C20</f>
        <v>109.84000000000003</v>
      </c>
      <c r="G20" s="2" t="s">
        <v>31</v>
      </c>
      <c r="H20" s="3">
        <f>D39+D41+D45</f>
        <v>1.0005594390000003</v>
      </c>
    </row>
    <row r="21" spans="2:8" ht="15.75" customHeight="1" x14ac:dyDescent="0.3"/>
    <row r="22" spans="2:8" ht="15.75" customHeight="1" x14ac:dyDescent="0.3">
      <c r="B22" s="5" t="s">
        <v>32</v>
      </c>
      <c r="C22" s="9">
        <f>C20</f>
        <v>109.84000000000003</v>
      </c>
      <c r="D22" s="19" t="s">
        <v>33</v>
      </c>
      <c r="E22" s="22">
        <f>C22+C23</f>
        <v>122.84000000000003</v>
      </c>
    </row>
    <row r="23" spans="2:8" ht="15.75" customHeight="1" x14ac:dyDescent="0.3">
      <c r="B23" s="5" t="s">
        <v>34</v>
      </c>
      <c r="C23" s="9">
        <f>C9</f>
        <v>13</v>
      </c>
      <c r="D23" s="18"/>
      <c r="E23" s="18"/>
    </row>
    <row r="24" spans="2:8" ht="15.75" customHeight="1" x14ac:dyDescent="0.3"/>
    <row r="25" spans="2:8" ht="15.75" customHeight="1" x14ac:dyDescent="0.3">
      <c r="C25" s="19">
        <f>E22</f>
        <v>122.84000000000003</v>
      </c>
      <c r="D25" s="19" t="s">
        <v>35</v>
      </c>
      <c r="E25" s="19">
        <f>C25-D28</f>
        <v>121.61160000000004</v>
      </c>
    </row>
    <row r="26" spans="2:8" ht="15.75" customHeight="1" x14ac:dyDescent="0.3">
      <c r="C26" s="18"/>
      <c r="D26" s="18"/>
      <c r="E26" s="18"/>
    </row>
    <row r="27" spans="2:8" ht="15.75" customHeight="1" x14ac:dyDescent="0.3">
      <c r="D27" s="11" t="s">
        <v>36</v>
      </c>
    </row>
    <row r="28" spans="2:8" ht="15.75" customHeight="1" x14ac:dyDescent="0.3">
      <c r="D28" s="11">
        <f>C25*1/100</f>
        <v>1.2284000000000004</v>
      </c>
    </row>
    <row r="29" spans="2:8" ht="15.75" customHeight="1" x14ac:dyDescent="0.3"/>
    <row r="30" spans="2:8" ht="15.75" customHeight="1" x14ac:dyDescent="0.3">
      <c r="C30" s="17">
        <f>E25</f>
        <v>121.61160000000004</v>
      </c>
      <c r="D30" s="19" t="s">
        <v>37</v>
      </c>
      <c r="E30" s="17">
        <f>C30-D33</f>
        <v>91.208700000000022</v>
      </c>
    </row>
    <row r="31" spans="2:8" ht="15.75" customHeight="1" x14ac:dyDescent="0.3">
      <c r="C31" s="18"/>
      <c r="D31" s="18"/>
      <c r="E31" s="18"/>
    </row>
    <row r="32" spans="2:8" ht="15.75" customHeight="1" x14ac:dyDescent="0.3">
      <c r="D32" s="12" t="s">
        <v>38</v>
      </c>
    </row>
    <row r="33" spans="3:5" ht="15.75" customHeight="1" x14ac:dyDescent="0.3">
      <c r="D33" s="12">
        <f>C30*0.25</f>
        <v>30.40290000000001</v>
      </c>
    </row>
    <row r="34" spans="3:5" ht="15.75" customHeight="1" x14ac:dyDescent="0.3"/>
    <row r="35" spans="3:5" ht="15.75" customHeight="1" x14ac:dyDescent="0.3">
      <c r="C35" s="3">
        <f>E30</f>
        <v>91.208700000000022</v>
      </c>
      <c r="D35" s="10" t="s">
        <v>39</v>
      </c>
      <c r="E35" s="3">
        <f>C35</f>
        <v>91.208700000000022</v>
      </c>
    </row>
    <row r="36" spans="3:5" ht="15.75" customHeight="1" x14ac:dyDescent="0.3">
      <c r="D36" s="13"/>
    </row>
    <row r="37" spans="3:5" ht="15.75" customHeight="1" x14ac:dyDescent="0.3">
      <c r="C37" s="3">
        <f>E35</f>
        <v>91.208700000000022</v>
      </c>
      <c r="D37" s="10" t="s">
        <v>40</v>
      </c>
      <c r="E37" s="3">
        <f>C37-D39-D41</f>
        <v>90.661447800000019</v>
      </c>
    </row>
    <row r="38" spans="3:5" ht="15.75" customHeight="1" x14ac:dyDescent="0.3">
      <c r="D38" s="12" t="s">
        <v>41</v>
      </c>
    </row>
    <row r="39" spans="3:5" ht="15.75" customHeight="1" x14ac:dyDescent="0.3">
      <c r="D39" s="12">
        <f>C37*0.3/100</f>
        <v>0.27362610000000009</v>
      </c>
    </row>
    <row r="40" spans="3:5" ht="15.75" customHeight="1" x14ac:dyDescent="0.3">
      <c r="D40" s="11" t="s">
        <v>42</v>
      </c>
    </row>
    <row r="41" spans="3:5" ht="15.75" customHeight="1" x14ac:dyDescent="0.3">
      <c r="D41" s="12">
        <f>C37*0.3/100</f>
        <v>0.27362610000000009</v>
      </c>
    </row>
    <row r="42" spans="3:5" ht="15.75" customHeight="1" x14ac:dyDescent="0.3"/>
    <row r="43" spans="3:5" ht="15.75" customHeight="1" x14ac:dyDescent="0.3">
      <c r="C43" s="3">
        <f>E37</f>
        <v>90.661447800000019</v>
      </c>
      <c r="D43" s="14" t="s">
        <v>43</v>
      </c>
      <c r="E43" s="3">
        <f>C43-D45</f>
        <v>90.208140561000022</v>
      </c>
    </row>
    <row r="44" spans="3:5" ht="15.75" customHeight="1" x14ac:dyDescent="0.3">
      <c r="D44" s="12" t="s">
        <v>44</v>
      </c>
    </row>
    <row r="45" spans="3:5" ht="15.75" customHeight="1" x14ac:dyDescent="0.3">
      <c r="D45" s="12">
        <f>C43*0.5/100</f>
        <v>0.45330723900000008</v>
      </c>
    </row>
    <row r="46" spans="3:5" ht="15.75" customHeight="1" x14ac:dyDescent="0.3"/>
    <row r="47" spans="3:5" ht="15.75" customHeight="1" x14ac:dyDescent="0.3">
      <c r="C47" s="10">
        <f>E43</f>
        <v>90.208140561000022</v>
      </c>
      <c r="D47" s="10" t="s">
        <v>45</v>
      </c>
      <c r="E47" s="10">
        <f>C47</f>
        <v>90.208140561000022</v>
      </c>
    </row>
    <row r="48" spans="3:5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0">
    <mergeCell ref="C30:C31"/>
    <mergeCell ref="D30:D31"/>
    <mergeCell ref="E30:E31"/>
    <mergeCell ref="B4:C4"/>
    <mergeCell ref="F5:F6"/>
    <mergeCell ref="D22:D23"/>
    <mergeCell ref="E22:E23"/>
    <mergeCell ref="C25:C26"/>
    <mergeCell ref="D25:D26"/>
    <mergeCell ref="E25:E26"/>
  </mergeCells>
  <pageMargins left="0.7" right="0.7" top="0.75" bottom="0.75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4:J1000"/>
  <sheetViews>
    <sheetView workbookViewId="0">
      <selection activeCell="D13" sqref="D13"/>
    </sheetView>
  </sheetViews>
  <sheetFormatPr baseColWidth="10" defaultColWidth="14.44140625" defaultRowHeight="15" customHeight="1" x14ac:dyDescent="0.3"/>
  <cols>
    <col min="1" max="1" width="10.6640625" customWidth="1"/>
    <col min="2" max="2" width="20.6640625" customWidth="1"/>
    <col min="3" max="3" width="10.6640625" customWidth="1"/>
    <col min="4" max="4" width="26.109375" customWidth="1"/>
    <col min="5" max="6" width="10.6640625" customWidth="1"/>
    <col min="7" max="7" width="15.5546875" customWidth="1"/>
    <col min="8" max="8" width="10.6640625" customWidth="1"/>
    <col min="9" max="9" width="14.5546875" customWidth="1"/>
    <col min="10" max="26" width="10.6640625" customWidth="1"/>
  </cols>
  <sheetData>
    <row r="4" spans="2:10" ht="43.2" x14ac:dyDescent="0.3">
      <c r="B4" s="20" t="s">
        <v>50</v>
      </c>
      <c r="C4" s="21"/>
      <c r="G4" s="1" t="s">
        <v>1</v>
      </c>
      <c r="H4" s="1" t="s">
        <v>2</v>
      </c>
      <c r="I4" s="1" t="s">
        <v>3</v>
      </c>
      <c r="J4" s="1" t="s">
        <v>4</v>
      </c>
    </row>
    <row r="5" spans="2:10" ht="14.4" x14ac:dyDescent="0.3">
      <c r="B5" s="2" t="s">
        <v>5</v>
      </c>
      <c r="C5" s="2" t="s">
        <v>6</v>
      </c>
      <c r="F5" s="19" t="s">
        <v>7</v>
      </c>
      <c r="G5" s="3">
        <v>48</v>
      </c>
      <c r="H5" s="4">
        <v>8</v>
      </c>
      <c r="I5" s="4">
        <f t="shared" ref="I5:I6" si="0">(G5/H5)/1000</f>
        <v>6.0000000000000001E-3</v>
      </c>
      <c r="J5" s="4">
        <v>160</v>
      </c>
    </row>
    <row r="6" spans="2:10" ht="14.4" x14ac:dyDescent="0.3">
      <c r="B6" s="3" t="s">
        <v>8</v>
      </c>
      <c r="C6" s="3">
        <v>82</v>
      </c>
      <c r="F6" s="18"/>
      <c r="G6" s="3">
        <v>30</v>
      </c>
      <c r="H6" s="4">
        <v>4</v>
      </c>
      <c r="I6" s="4">
        <f t="shared" si="0"/>
        <v>7.4999999999999997E-3</v>
      </c>
      <c r="J6" s="4">
        <v>200</v>
      </c>
    </row>
    <row r="7" spans="2:10" ht="14.4" x14ac:dyDescent="0.3">
      <c r="B7" s="3" t="s">
        <v>51</v>
      </c>
      <c r="C7" s="3">
        <v>2</v>
      </c>
    </row>
    <row r="8" spans="2:10" ht="14.4" x14ac:dyDescent="0.3">
      <c r="B8" s="3" t="s">
        <v>10</v>
      </c>
      <c r="C8" s="3">
        <v>13</v>
      </c>
      <c r="F8" s="6" t="s">
        <v>11</v>
      </c>
    </row>
    <row r="9" spans="2:10" ht="14.4" x14ac:dyDescent="0.3">
      <c r="B9" s="3" t="s">
        <v>12</v>
      </c>
      <c r="C9" s="3">
        <v>13</v>
      </c>
      <c r="F9" s="5">
        <f>E47</f>
        <v>89.385663213000029</v>
      </c>
      <c r="G9" s="7">
        <v>7.4999999999999997E-3</v>
      </c>
      <c r="H9" s="8">
        <f>F9/G9</f>
        <v>11918.088428400004</v>
      </c>
      <c r="I9" s="3" t="s">
        <v>13</v>
      </c>
    </row>
    <row r="10" spans="2:10" ht="14.4" x14ac:dyDescent="0.3">
      <c r="B10" s="3" t="s">
        <v>14</v>
      </c>
      <c r="C10" s="3">
        <v>1</v>
      </c>
    </row>
    <row r="11" spans="2:10" ht="14.4" x14ac:dyDescent="0.3">
      <c r="B11" s="3" t="s">
        <v>15</v>
      </c>
      <c r="C11" s="3">
        <v>0.45</v>
      </c>
      <c r="F11" s="6" t="s">
        <v>16</v>
      </c>
    </row>
    <row r="12" spans="2:10" ht="14.4" x14ac:dyDescent="0.3">
      <c r="B12" s="3" t="s">
        <v>17</v>
      </c>
      <c r="C12" s="3">
        <v>0.45</v>
      </c>
      <c r="F12" s="5">
        <f>H9</f>
        <v>11918.088428400004</v>
      </c>
      <c r="G12" s="7">
        <v>4</v>
      </c>
      <c r="H12" s="8">
        <f>F12/G12</f>
        <v>2979.522107100001</v>
      </c>
      <c r="I12" s="3" t="s">
        <v>18</v>
      </c>
    </row>
    <row r="13" spans="2:10" ht="14.4" x14ac:dyDescent="0.3">
      <c r="B13" s="3" t="s">
        <v>19</v>
      </c>
      <c r="C13" s="3">
        <v>0.15</v>
      </c>
    </row>
    <row r="14" spans="2:10" ht="14.4" x14ac:dyDescent="0.3">
      <c r="B14" s="3" t="s">
        <v>20</v>
      </c>
      <c r="C14" s="3">
        <v>0.4</v>
      </c>
      <c r="F14" s="6" t="s">
        <v>21</v>
      </c>
    </row>
    <row r="15" spans="2:10" ht="14.4" x14ac:dyDescent="0.3">
      <c r="B15" s="3" t="s">
        <v>22</v>
      </c>
      <c r="C15" s="3">
        <v>0.04</v>
      </c>
      <c r="F15" s="5">
        <f>H12</f>
        <v>2979.522107100001</v>
      </c>
      <c r="G15" s="7">
        <v>200</v>
      </c>
      <c r="H15" s="8">
        <f>F15/G15</f>
        <v>14.897610535500005</v>
      </c>
      <c r="I15" s="3" t="s">
        <v>23</v>
      </c>
    </row>
    <row r="16" spans="2:10" ht="14.4" x14ac:dyDescent="0.3">
      <c r="B16" s="3" t="s">
        <v>24</v>
      </c>
      <c r="C16" s="3">
        <v>0.23</v>
      </c>
      <c r="H16" s="3">
        <f>ROUND(H15,1)</f>
        <v>14.9</v>
      </c>
      <c r="I16" s="3" t="s">
        <v>23</v>
      </c>
    </row>
    <row r="17" spans="2:8" ht="14.4" x14ac:dyDescent="0.3">
      <c r="B17" s="3"/>
      <c r="C17" s="3"/>
    </row>
    <row r="18" spans="2:8" ht="14.4" x14ac:dyDescent="0.3">
      <c r="B18" s="3" t="s">
        <v>25</v>
      </c>
      <c r="C18" s="3">
        <v>9</v>
      </c>
      <c r="G18" s="2" t="s">
        <v>26</v>
      </c>
      <c r="H18" s="2" t="s">
        <v>27</v>
      </c>
    </row>
    <row r="19" spans="2:8" ht="14.4" x14ac:dyDescent="0.3">
      <c r="G19" s="2" t="s">
        <v>28</v>
      </c>
      <c r="H19" s="3">
        <f>D28</f>
        <v>1.2172000000000003</v>
      </c>
    </row>
    <row r="20" spans="2:8" ht="14.4" x14ac:dyDescent="0.3">
      <c r="B20" s="5" t="s">
        <v>29</v>
      </c>
      <c r="C20" s="9">
        <f>SUM(C6:C19)-C9</f>
        <v>108.72000000000003</v>
      </c>
      <c r="D20" s="10" t="s">
        <v>30</v>
      </c>
      <c r="E20" s="10">
        <f>C20</f>
        <v>108.72000000000003</v>
      </c>
      <c r="G20" s="2" t="s">
        <v>31</v>
      </c>
      <c r="H20" s="3">
        <f>D39+D41+D45</f>
        <v>0.99143678700000015</v>
      </c>
    </row>
    <row r="21" spans="2:8" ht="15.75" customHeight="1" x14ac:dyDescent="0.3"/>
    <row r="22" spans="2:8" ht="15.75" customHeight="1" x14ac:dyDescent="0.3">
      <c r="B22" s="5" t="s">
        <v>32</v>
      </c>
      <c r="C22" s="9">
        <f>C20</f>
        <v>108.72000000000003</v>
      </c>
      <c r="D22" s="19" t="s">
        <v>33</v>
      </c>
      <c r="E22" s="22">
        <f>C22+C23</f>
        <v>121.72000000000003</v>
      </c>
    </row>
    <row r="23" spans="2:8" ht="15.75" customHeight="1" x14ac:dyDescent="0.3">
      <c r="B23" s="5" t="s">
        <v>34</v>
      </c>
      <c r="C23" s="9">
        <f>C9</f>
        <v>13</v>
      </c>
      <c r="D23" s="18"/>
      <c r="E23" s="18"/>
    </row>
    <row r="24" spans="2:8" ht="15.75" customHeight="1" x14ac:dyDescent="0.3"/>
    <row r="25" spans="2:8" ht="15.75" customHeight="1" x14ac:dyDescent="0.3">
      <c r="C25" s="19">
        <f>E22</f>
        <v>121.72000000000003</v>
      </c>
      <c r="D25" s="19" t="s">
        <v>35</v>
      </c>
      <c r="E25" s="19">
        <f>C25-D28</f>
        <v>120.50280000000002</v>
      </c>
    </row>
    <row r="26" spans="2:8" ht="15.75" customHeight="1" x14ac:dyDescent="0.3">
      <c r="C26" s="18"/>
      <c r="D26" s="18"/>
      <c r="E26" s="18"/>
    </row>
    <row r="27" spans="2:8" ht="15.75" customHeight="1" x14ac:dyDescent="0.3">
      <c r="D27" s="11" t="s">
        <v>36</v>
      </c>
    </row>
    <row r="28" spans="2:8" ht="15.75" customHeight="1" x14ac:dyDescent="0.3">
      <c r="D28" s="11">
        <f>C25*1/100</f>
        <v>1.2172000000000003</v>
      </c>
    </row>
    <row r="29" spans="2:8" ht="15.75" customHeight="1" x14ac:dyDescent="0.3"/>
    <row r="30" spans="2:8" ht="15.75" customHeight="1" x14ac:dyDescent="0.3">
      <c r="C30" s="17">
        <f>E25</f>
        <v>120.50280000000002</v>
      </c>
      <c r="D30" s="19" t="s">
        <v>37</v>
      </c>
      <c r="E30" s="17">
        <f>C30-D33</f>
        <v>90.377100000000013</v>
      </c>
    </row>
    <row r="31" spans="2:8" ht="15.75" customHeight="1" x14ac:dyDescent="0.3">
      <c r="C31" s="18"/>
      <c r="D31" s="18"/>
      <c r="E31" s="18"/>
    </row>
    <row r="32" spans="2:8" ht="15.75" customHeight="1" x14ac:dyDescent="0.3">
      <c r="D32" s="12" t="s">
        <v>38</v>
      </c>
    </row>
    <row r="33" spans="3:5" ht="15.75" customHeight="1" x14ac:dyDescent="0.3">
      <c r="D33" s="12">
        <f>C30*0.25</f>
        <v>30.125700000000005</v>
      </c>
    </row>
    <row r="34" spans="3:5" ht="15.75" customHeight="1" x14ac:dyDescent="0.3"/>
    <row r="35" spans="3:5" ht="15.75" customHeight="1" x14ac:dyDescent="0.3">
      <c r="C35" s="3">
        <f>E30</f>
        <v>90.377100000000013</v>
      </c>
      <c r="D35" s="10" t="s">
        <v>39</v>
      </c>
      <c r="E35" s="3">
        <f>C35</f>
        <v>90.377100000000013</v>
      </c>
    </row>
    <row r="36" spans="3:5" ht="15.75" customHeight="1" x14ac:dyDescent="0.3">
      <c r="D36" s="13"/>
    </row>
    <row r="37" spans="3:5" ht="15.75" customHeight="1" x14ac:dyDescent="0.3">
      <c r="C37" s="3">
        <f>E35</f>
        <v>90.377100000000013</v>
      </c>
      <c r="D37" s="10" t="s">
        <v>40</v>
      </c>
      <c r="E37" s="3">
        <f>C37-D39-D41</f>
        <v>89.834837400000026</v>
      </c>
    </row>
    <row r="38" spans="3:5" ht="15.75" customHeight="1" x14ac:dyDescent="0.3">
      <c r="D38" s="12" t="s">
        <v>41</v>
      </c>
    </row>
    <row r="39" spans="3:5" ht="15.75" customHeight="1" x14ac:dyDescent="0.3">
      <c r="D39" s="12">
        <f>C37*0.3/100</f>
        <v>0.27113130000000002</v>
      </c>
    </row>
    <row r="40" spans="3:5" ht="15.75" customHeight="1" x14ac:dyDescent="0.3">
      <c r="D40" s="11" t="s">
        <v>42</v>
      </c>
    </row>
    <row r="41" spans="3:5" ht="15.75" customHeight="1" x14ac:dyDescent="0.3">
      <c r="D41" s="12">
        <f>C37*0.3/100</f>
        <v>0.27113130000000002</v>
      </c>
    </row>
    <row r="42" spans="3:5" ht="15.75" customHeight="1" x14ac:dyDescent="0.3"/>
    <row r="43" spans="3:5" ht="15.75" customHeight="1" x14ac:dyDescent="0.3">
      <c r="C43" s="3">
        <f>E37</f>
        <v>89.834837400000026</v>
      </c>
      <c r="D43" s="14" t="s">
        <v>43</v>
      </c>
      <c r="E43" s="3">
        <f>C43-D45</f>
        <v>89.385663213000029</v>
      </c>
    </row>
    <row r="44" spans="3:5" ht="15.75" customHeight="1" x14ac:dyDescent="0.3">
      <c r="D44" s="12" t="s">
        <v>44</v>
      </c>
    </row>
    <row r="45" spans="3:5" ht="15.75" customHeight="1" x14ac:dyDescent="0.3">
      <c r="D45" s="12">
        <f>C43*0.5/100</f>
        <v>0.44917418700000011</v>
      </c>
    </row>
    <row r="46" spans="3:5" ht="15.75" customHeight="1" x14ac:dyDescent="0.3"/>
    <row r="47" spans="3:5" ht="15.75" customHeight="1" x14ac:dyDescent="0.3">
      <c r="C47" s="10">
        <f>E43</f>
        <v>89.385663213000029</v>
      </c>
      <c r="D47" s="10" t="s">
        <v>45</v>
      </c>
      <c r="E47" s="10">
        <f>C47</f>
        <v>89.385663213000029</v>
      </c>
    </row>
    <row r="48" spans="3:5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0">
    <mergeCell ref="C30:C31"/>
    <mergeCell ref="D30:D31"/>
    <mergeCell ref="E30:E31"/>
    <mergeCell ref="B4:C4"/>
    <mergeCell ref="F5:F6"/>
    <mergeCell ref="D22:D23"/>
    <mergeCell ref="E22:E23"/>
    <mergeCell ref="C25:C26"/>
    <mergeCell ref="D25:D26"/>
    <mergeCell ref="E25:E26"/>
  </mergeCell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4:J1000"/>
  <sheetViews>
    <sheetView workbookViewId="0">
      <selection activeCell="D8" sqref="D8"/>
    </sheetView>
  </sheetViews>
  <sheetFormatPr baseColWidth="10" defaultColWidth="14.44140625" defaultRowHeight="15" customHeight="1" x14ac:dyDescent="0.3"/>
  <cols>
    <col min="1" max="1" width="10.6640625" customWidth="1"/>
    <col min="2" max="2" width="20.6640625" customWidth="1"/>
    <col min="3" max="3" width="10.6640625" customWidth="1"/>
    <col min="4" max="4" width="26.109375" customWidth="1"/>
    <col min="5" max="6" width="10.6640625" customWidth="1"/>
    <col min="7" max="7" width="15.5546875" customWidth="1"/>
    <col min="8" max="8" width="10.6640625" customWidth="1"/>
    <col min="9" max="9" width="14.5546875" customWidth="1"/>
    <col min="10" max="26" width="10.6640625" customWidth="1"/>
  </cols>
  <sheetData>
    <row r="4" spans="2:10" ht="43.2" x14ac:dyDescent="0.3">
      <c r="B4" s="20" t="s">
        <v>52</v>
      </c>
      <c r="C4" s="21"/>
      <c r="G4" s="1" t="s">
        <v>1</v>
      </c>
      <c r="H4" s="1" t="s">
        <v>2</v>
      </c>
      <c r="I4" s="1" t="s">
        <v>3</v>
      </c>
      <c r="J4" s="1" t="s">
        <v>4</v>
      </c>
    </row>
    <row r="5" spans="2:10" ht="14.4" x14ac:dyDescent="0.3">
      <c r="B5" s="2" t="s">
        <v>5</v>
      </c>
      <c r="C5" s="2" t="s">
        <v>6</v>
      </c>
      <c r="F5" s="19" t="s">
        <v>7</v>
      </c>
      <c r="G5" s="3">
        <v>48</v>
      </c>
      <c r="H5" s="4">
        <v>8</v>
      </c>
      <c r="I5" s="4">
        <f t="shared" ref="I5:I6" si="0">(G5/H5)/1000</f>
        <v>6.0000000000000001E-3</v>
      </c>
      <c r="J5" s="4">
        <v>160</v>
      </c>
    </row>
    <row r="6" spans="2:10" ht="14.4" x14ac:dyDescent="0.3">
      <c r="B6" s="3" t="s">
        <v>8</v>
      </c>
      <c r="C6" s="3">
        <v>82</v>
      </c>
      <c r="F6" s="18"/>
      <c r="G6" s="3">
        <v>30</v>
      </c>
      <c r="H6" s="4">
        <v>4</v>
      </c>
      <c r="I6" s="4">
        <f t="shared" si="0"/>
        <v>7.4999999999999997E-3</v>
      </c>
      <c r="J6" s="4">
        <v>200</v>
      </c>
    </row>
    <row r="7" spans="2:10" ht="14.4" x14ac:dyDescent="0.3">
      <c r="B7" s="3" t="s">
        <v>10</v>
      </c>
      <c r="C7" s="3">
        <v>12</v>
      </c>
    </row>
    <row r="8" spans="2:10" ht="14.4" x14ac:dyDescent="0.3">
      <c r="B8" s="3" t="s">
        <v>12</v>
      </c>
      <c r="C8" s="3">
        <v>11</v>
      </c>
      <c r="F8" s="6" t="s">
        <v>11</v>
      </c>
    </row>
    <row r="9" spans="2:10" ht="14.4" x14ac:dyDescent="0.3">
      <c r="B9" s="3" t="s">
        <v>14</v>
      </c>
      <c r="C9" s="3">
        <v>1</v>
      </c>
      <c r="F9" s="5">
        <f>E47</f>
        <v>87.618071269575026</v>
      </c>
      <c r="G9" s="7">
        <v>7.4999999999999997E-3</v>
      </c>
      <c r="H9" s="8">
        <f>F9/G9</f>
        <v>11682.409502610004</v>
      </c>
      <c r="I9" s="3" t="s">
        <v>13</v>
      </c>
    </row>
    <row r="10" spans="2:10" ht="14.4" x14ac:dyDescent="0.3">
      <c r="B10" s="3" t="s">
        <v>15</v>
      </c>
      <c r="C10" s="3">
        <v>1.2</v>
      </c>
    </row>
    <row r="11" spans="2:10" ht="14.4" x14ac:dyDescent="0.3">
      <c r="B11" s="3" t="s">
        <v>17</v>
      </c>
      <c r="C11" s="3">
        <v>0.15</v>
      </c>
      <c r="F11" s="6" t="s">
        <v>16</v>
      </c>
    </row>
    <row r="12" spans="2:10" ht="14.4" x14ac:dyDescent="0.3">
      <c r="B12" s="3" t="s">
        <v>19</v>
      </c>
      <c r="C12" s="3">
        <v>0.2</v>
      </c>
      <c r="F12" s="5">
        <f>H9</f>
        <v>11682.409502610004</v>
      </c>
      <c r="G12" s="7">
        <v>4</v>
      </c>
      <c r="H12" s="8">
        <f>F12/G12</f>
        <v>2920.602375652501</v>
      </c>
      <c r="I12" s="3" t="s">
        <v>18</v>
      </c>
    </row>
    <row r="13" spans="2:10" ht="14.4" x14ac:dyDescent="0.3">
      <c r="B13" s="3" t="s">
        <v>20</v>
      </c>
      <c r="C13" s="3">
        <v>0.4</v>
      </c>
    </row>
    <row r="14" spans="2:10" ht="14.4" x14ac:dyDescent="0.3">
      <c r="B14" s="3" t="s">
        <v>22</v>
      </c>
      <c r="C14" s="3">
        <v>0.04</v>
      </c>
      <c r="F14" s="6" t="s">
        <v>21</v>
      </c>
    </row>
    <row r="15" spans="2:10" ht="14.4" x14ac:dyDescent="0.3">
      <c r="B15" s="3" t="s">
        <v>24</v>
      </c>
      <c r="C15" s="3">
        <v>2.3E-2</v>
      </c>
      <c r="F15" s="5">
        <f>H12</f>
        <v>2920.602375652501</v>
      </c>
      <c r="G15" s="7">
        <v>200</v>
      </c>
      <c r="H15" s="8">
        <f>F15/G15</f>
        <v>14.603011878262505</v>
      </c>
      <c r="I15" s="3" t="s">
        <v>23</v>
      </c>
    </row>
    <row r="16" spans="2:10" ht="14.4" x14ac:dyDescent="0.3">
      <c r="B16" s="3" t="s">
        <v>53</v>
      </c>
      <c r="C16" s="3">
        <v>0.3</v>
      </c>
      <c r="H16" s="3">
        <f>ROUND(H15,1)</f>
        <v>14.6</v>
      </c>
      <c r="I16" s="3" t="s">
        <v>23</v>
      </c>
    </row>
    <row r="17" spans="2:8" ht="14.4" x14ac:dyDescent="0.3">
      <c r="B17" s="3"/>
      <c r="C17" s="3"/>
    </row>
    <row r="18" spans="2:8" ht="14.4" x14ac:dyDescent="0.3">
      <c r="B18" s="3" t="s">
        <v>25</v>
      </c>
      <c r="C18" s="3">
        <v>11</v>
      </c>
      <c r="G18" s="2" t="s">
        <v>26</v>
      </c>
      <c r="H18" s="2" t="s">
        <v>27</v>
      </c>
    </row>
    <row r="19" spans="2:8" ht="14.4" x14ac:dyDescent="0.3">
      <c r="G19" s="2" t="s">
        <v>28</v>
      </c>
      <c r="H19" s="3">
        <f>D28</f>
        <v>1.1931300000000002</v>
      </c>
    </row>
    <row r="20" spans="2:8" ht="14.4" x14ac:dyDescent="0.3">
      <c r="B20" s="5" t="s">
        <v>29</v>
      </c>
      <c r="C20" s="9">
        <f>SUM(C6:C19)-C8</f>
        <v>108.31300000000002</v>
      </c>
      <c r="D20" s="10" t="s">
        <v>30</v>
      </c>
      <c r="E20" s="10">
        <f>C20</f>
        <v>108.31300000000002</v>
      </c>
      <c r="G20" s="2" t="s">
        <v>31</v>
      </c>
      <c r="H20" s="3">
        <f>D39+D41+D45</f>
        <v>0.9718312304250003</v>
      </c>
    </row>
    <row r="21" spans="2:8" ht="15.75" customHeight="1" x14ac:dyDescent="0.3"/>
    <row r="22" spans="2:8" ht="15.75" customHeight="1" x14ac:dyDescent="0.3">
      <c r="B22" s="5" t="s">
        <v>32</v>
      </c>
      <c r="C22" s="9">
        <f>C20</f>
        <v>108.31300000000002</v>
      </c>
      <c r="D22" s="19" t="s">
        <v>33</v>
      </c>
      <c r="E22" s="22">
        <f>C22+C23</f>
        <v>119.31300000000002</v>
      </c>
    </row>
    <row r="23" spans="2:8" ht="15.75" customHeight="1" x14ac:dyDescent="0.3">
      <c r="B23" s="5" t="s">
        <v>34</v>
      </c>
      <c r="C23" s="9">
        <f>C8</f>
        <v>11</v>
      </c>
      <c r="D23" s="18"/>
      <c r="E23" s="18"/>
    </row>
    <row r="24" spans="2:8" ht="15.75" customHeight="1" x14ac:dyDescent="0.3"/>
    <row r="25" spans="2:8" ht="15.75" customHeight="1" x14ac:dyDescent="0.3">
      <c r="C25" s="19">
        <f>E22</f>
        <v>119.31300000000002</v>
      </c>
      <c r="D25" s="19" t="s">
        <v>35</v>
      </c>
      <c r="E25" s="19">
        <f>C25-D28</f>
        <v>118.11987000000002</v>
      </c>
    </row>
    <row r="26" spans="2:8" ht="15.75" customHeight="1" x14ac:dyDescent="0.3">
      <c r="C26" s="18"/>
      <c r="D26" s="18"/>
      <c r="E26" s="18"/>
    </row>
    <row r="27" spans="2:8" ht="15.75" customHeight="1" x14ac:dyDescent="0.3">
      <c r="D27" s="11" t="s">
        <v>36</v>
      </c>
    </row>
    <row r="28" spans="2:8" ht="15.75" customHeight="1" x14ac:dyDescent="0.3">
      <c r="D28" s="11">
        <f>C25*1/100</f>
        <v>1.1931300000000002</v>
      </c>
    </row>
    <row r="29" spans="2:8" ht="15.75" customHeight="1" x14ac:dyDescent="0.3"/>
    <row r="30" spans="2:8" ht="15.75" customHeight="1" x14ac:dyDescent="0.3">
      <c r="C30" s="17">
        <f>E25</f>
        <v>118.11987000000002</v>
      </c>
      <c r="D30" s="19" t="s">
        <v>37</v>
      </c>
      <c r="E30" s="17">
        <f>C30-D33</f>
        <v>88.589902500000022</v>
      </c>
    </row>
    <row r="31" spans="2:8" ht="15.75" customHeight="1" x14ac:dyDescent="0.3">
      <c r="C31" s="18"/>
      <c r="D31" s="18"/>
      <c r="E31" s="18"/>
    </row>
    <row r="32" spans="2:8" ht="15.75" customHeight="1" x14ac:dyDescent="0.3">
      <c r="D32" s="12" t="s">
        <v>38</v>
      </c>
    </row>
    <row r="33" spans="3:5" ht="15.75" customHeight="1" x14ac:dyDescent="0.3">
      <c r="D33" s="12">
        <f>C30*0.25</f>
        <v>29.529967500000005</v>
      </c>
    </row>
    <row r="34" spans="3:5" ht="15.75" customHeight="1" x14ac:dyDescent="0.3"/>
    <row r="35" spans="3:5" ht="15.75" customHeight="1" x14ac:dyDescent="0.3">
      <c r="C35" s="3">
        <f>E30</f>
        <v>88.589902500000022</v>
      </c>
      <c r="D35" s="10" t="s">
        <v>39</v>
      </c>
      <c r="E35" s="3">
        <f>C35</f>
        <v>88.589902500000022</v>
      </c>
    </row>
    <row r="36" spans="3:5" ht="15.75" customHeight="1" x14ac:dyDescent="0.3">
      <c r="D36" s="13"/>
    </row>
    <row r="37" spans="3:5" ht="15.75" customHeight="1" x14ac:dyDescent="0.3">
      <c r="C37" s="3">
        <f>E35</f>
        <v>88.589902500000022</v>
      </c>
      <c r="D37" s="10" t="s">
        <v>40</v>
      </c>
      <c r="E37" s="3">
        <f>C37-D39-D41</f>
        <v>88.058363085000025</v>
      </c>
    </row>
    <row r="38" spans="3:5" ht="15.75" customHeight="1" x14ac:dyDescent="0.3">
      <c r="D38" s="12" t="s">
        <v>41</v>
      </c>
    </row>
    <row r="39" spans="3:5" ht="15.75" customHeight="1" x14ac:dyDescent="0.3">
      <c r="D39" s="12">
        <f>C37*0.3/100</f>
        <v>0.26576970750000006</v>
      </c>
    </row>
    <row r="40" spans="3:5" ht="15.75" customHeight="1" x14ac:dyDescent="0.3">
      <c r="D40" s="11" t="s">
        <v>42</v>
      </c>
    </row>
    <row r="41" spans="3:5" ht="15.75" customHeight="1" x14ac:dyDescent="0.3">
      <c r="D41" s="12">
        <f>C37*0.3/100</f>
        <v>0.26576970750000006</v>
      </c>
    </row>
    <row r="42" spans="3:5" ht="15.75" customHeight="1" x14ac:dyDescent="0.3"/>
    <row r="43" spans="3:5" ht="15.75" customHeight="1" x14ac:dyDescent="0.3">
      <c r="C43" s="3">
        <f>E37</f>
        <v>88.058363085000025</v>
      </c>
      <c r="D43" s="14" t="s">
        <v>43</v>
      </c>
      <c r="E43" s="3">
        <f>C43-D45</f>
        <v>87.618071269575026</v>
      </c>
    </row>
    <row r="44" spans="3:5" ht="15.75" customHeight="1" x14ac:dyDescent="0.3">
      <c r="D44" s="12" t="s">
        <v>44</v>
      </c>
    </row>
    <row r="45" spans="3:5" ht="15.75" customHeight="1" x14ac:dyDescent="0.3">
      <c r="D45" s="12">
        <f>C43*0.5/100</f>
        <v>0.44029181542500012</v>
      </c>
    </row>
    <row r="46" spans="3:5" ht="15.75" customHeight="1" x14ac:dyDescent="0.3"/>
    <row r="47" spans="3:5" ht="15.75" customHeight="1" x14ac:dyDescent="0.3">
      <c r="C47" s="10">
        <f>E43</f>
        <v>87.618071269575026</v>
      </c>
      <c r="D47" s="10" t="s">
        <v>45</v>
      </c>
      <c r="E47" s="10">
        <f>C47</f>
        <v>87.618071269575026</v>
      </c>
    </row>
    <row r="48" spans="3:5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0">
    <mergeCell ref="C30:C31"/>
    <mergeCell ref="D30:D31"/>
    <mergeCell ref="E30:E31"/>
    <mergeCell ref="B4:C4"/>
    <mergeCell ref="F5:F6"/>
    <mergeCell ref="D22:D23"/>
    <mergeCell ref="E22:E23"/>
    <mergeCell ref="C25:C26"/>
    <mergeCell ref="D25:D26"/>
    <mergeCell ref="E25:E26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J1000"/>
  <sheetViews>
    <sheetView workbookViewId="0"/>
  </sheetViews>
  <sheetFormatPr baseColWidth="10" defaultColWidth="14.44140625" defaultRowHeight="15" customHeight="1" x14ac:dyDescent="0.3"/>
  <cols>
    <col min="1" max="1" width="10.6640625" customWidth="1"/>
    <col min="2" max="2" width="20.6640625" customWidth="1"/>
    <col min="3" max="3" width="10.6640625" customWidth="1"/>
    <col min="4" max="4" width="26.109375" customWidth="1"/>
    <col min="5" max="6" width="10.6640625" customWidth="1"/>
    <col min="7" max="7" width="15.5546875" customWidth="1"/>
    <col min="8" max="8" width="10.6640625" customWidth="1"/>
    <col min="9" max="9" width="14.5546875" customWidth="1"/>
    <col min="10" max="26" width="10.6640625" customWidth="1"/>
  </cols>
  <sheetData>
    <row r="3" spans="2:10" ht="14.4" x14ac:dyDescent="0.3">
      <c r="B3" s="20" t="s">
        <v>54</v>
      </c>
      <c r="C3" s="21"/>
    </row>
    <row r="4" spans="2:10" ht="43.2" x14ac:dyDescent="0.3">
      <c r="B4" s="2" t="s">
        <v>5</v>
      </c>
      <c r="C4" s="2" t="s">
        <v>6</v>
      </c>
      <c r="G4" s="1" t="s">
        <v>1</v>
      </c>
      <c r="H4" s="1" t="s">
        <v>2</v>
      </c>
      <c r="I4" s="1" t="s">
        <v>3</v>
      </c>
      <c r="J4" s="1" t="s">
        <v>4</v>
      </c>
    </row>
    <row r="5" spans="2:10" ht="14.4" x14ac:dyDescent="0.3">
      <c r="B5" s="3" t="s">
        <v>8</v>
      </c>
      <c r="C5" s="3">
        <v>80</v>
      </c>
      <c r="F5" s="19" t="s">
        <v>7</v>
      </c>
      <c r="G5" s="3">
        <v>48</v>
      </c>
      <c r="H5" s="4">
        <v>8</v>
      </c>
      <c r="I5" s="4">
        <f t="shared" ref="I5:I6" si="0">(G5/H5)/1000</f>
        <v>6.0000000000000001E-3</v>
      </c>
      <c r="J5" s="4">
        <v>160</v>
      </c>
    </row>
    <row r="6" spans="2:10" ht="14.4" x14ac:dyDescent="0.3">
      <c r="B6" s="3" t="s">
        <v>55</v>
      </c>
      <c r="C6" s="3">
        <v>2</v>
      </c>
      <c r="F6" s="18"/>
      <c r="G6" s="3">
        <v>30</v>
      </c>
      <c r="H6" s="4">
        <v>4</v>
      </c>
      <c r="I6" s="4">
        <f t="shared" si="0"/>
        <v>7.4999999999999997E-3</v>
      </c>
      <c r="J6" s="4">
        <v>200</v>
      </c>
    </row>
    <row r="7" spans="2:10" ht="14.4" x14ac:dyDescent="0.3">
      <c r="B7" s="3" t="s">
        <v>10</v>
      </c>
      <c r="C7" s="3">
        <v>13</v>
      </c>
    </row>
    <row r="8" spans="2:10" ht="14.4" x14ac:dyDescent="0.3">
      <c r="B8" s="3" t="s">
        <v>12</v>
      </c>
      <c r="C8" s="3">
        <v>13</v>
      </c>
      <c r="F8" s="6" t="s">
        <v>11</v>
      </c>
    </row>
    <row r="9" spans="2:10" ht="14.4" x14ac:dyDescent="0.3">
      <c r="B9" s="3" t="s">
        <v>14</v>
      </c>
      <c r="C9" s="3">
        <v>1</v>
      </c>
      <c r="F9" s="5">
        <f>E47</f>
        <v>91.676850111000036</v>
      </c>
      <c r="G9" s="7">
        <v>7.4999999999999997E-3</v>
      </c>
      <c r="H9" s="8">
        <f>F9/G9</f>
        <v>12223.580014800005</v>
      </c>
      <c r="I9" s="3" t="s">
        <v>13</v>
      </c>
    </row>
    <row r="10" spans="2:10" ht="14.4" x14ac:dyDescent="0.3">
      <c r="B10" s="3" t="s">
        <v>15</v>
      </c>
      <c r="C10" s="3">
        <v>0.45</v>
      </c>
    </row>
    <row r="11" spans="2:10" ht="14.4" x14ac:dyDescent="0.3">
      <c r="B11" s="3" t="s">
        <v>17</v>
      </c>
      <c r="C11" s="3">
        <v>0.45</v>
      </c>
      <c r="F11" s="6" t="s">
        <v>16</v>
      </c>
    </row>
    <row r="12" spans="2:10" ht="14.4" x14ac:dyDescent="0.3">
      <c r="B12" s="3" t="s">
        <v>19</v>
      </c>
      <c r="C12" s="3">
        <v>0.15</v>
      </c>
      <c r="F12" s="5">
        <f>H9</f>
        <v>12223.580014800005</v>
      </c>
      <c r="G12" s="7">
        <v>4</v>
      </c>
      <c r="H12" s="8">
        <f>F12/G12</f>
        <v>3055.8950037000013</v>
      </c>
      <c r="I12" s="3" t="s">
        <v>18</v>
      </c>
    </row>
    <row r="13" spans="2:10" ht="14.4" x14ac:dyDescent="0.3">
      <c r="B13" s="3" t="s">
        <v>20</v>
      </c>
      <c r="C13" s="3">
        <v>0.4</v>
      </c>
    </row>
    <row r="14" spans="2:10" ht="14.4" x14ac:dyDescent="0.3">
      <c r="B14" s="3" t="s">
        <v>22</v>
      </c>
      <c r="C14" s="3">
        <v>0.04</v>
      </c>
      <c r="F14" s="6" t="s">
        <v>21</v>
      </c>
    </row>
    <row r="15" spans="2:10" ht="14.4" x14ac:dyDescent="0.3">
      <c r="B15" s="3" t="s">
        <v>24</v>
      </c>
      <c r="C15" s="3">
        <v>0.23</v>
      </c>
      <c r="F15" s="5">
        <f>H12</f>
        <v>3055.8950037000013</v>
      </c>
      <c r="G15" s="7">
        <v>200</v>
      </c>
      <c r="H15" s="8">
        <f>F15/G15</f>
        <v>15.279475018500007</v>
      </c>
      <c r="I15" s="3" t="s">
        <v>23</v>
      </c>
    </row>
    <row r="16" spans="2:10" ht="14.4" x14ac:dyDescent="0.3">
      <c r="B16" s="3" t="s">
        <v>48</v>
      </c>
      <c r="C16" s="3">
        <v>0.12</v>
      </c>
      <c r="H16" s="3">
        <f>ROUND(H15,1)</f>
        <v>15.3</v>
      </c>
      <c r="I16" s="3" t="s">
        <v>23</v>
      </c>
    </row>
    <row r="17" spans="2:8" ht="14.4" x14ac:dyDescent="0.3">
      <c r="B17" s="3" t="s">
        <v>25</v>
      </c>
      <c r="C17" s="3">
        <v>10</v>
      </c>
    </row>
    <row r="18" spans="2:8" ht="14.4" x14ac:dyDescent="0.3">
      <c r="B18" s="3" t="s">
        <v>56</v>
      </c>
      <c r="C18" s="3">
        <v>2</v>
      </c>
      <c r="G18" s="2" t="s">
        <v>26</v>
      </c>
      <c r="H18" s="2" t="s">
        <v>27</v>
      </c>
    </row>
    <row r="19" spans="2:8" ht="14.4" x14ac:dyDescent="0.3">
      <c r="B19" s="3" t="s">
        <v>57</v>
      </c>
      <c r="C19" s="3">
        <v>2</v>
      </c>
      <c r="G19" s="2" t="s">
        <v>28</v>
      </c>
      <c r="H19" s="3">
        <f>D28</f>
        <v>1.2484000000000004</v>
      </c>
    </row>
    <row r="20" spans="2:8" ht="14.4" x14ac:dyDescent="0.3">
      <c r="B20" s="5" t="s">
        <v>29</v>
      </c>
      <c r="C20" s="15">
        <f>SUM(C5:C19)-C8</f>
        <v>111.84000000000003</v>
      </c>
      <c r="D20" s="10" t="s">
        <v>30</v>
      </c>
      <c r="E20" s="10">
        <f>C20</f>
        <v>111.84000000000003</v>
      </c>
      <c r="G20" s="2" t="s">
        <v>31</v>
      </c>
      <c r="H20" s="3">
        <f>D39+D41+D45</f>
        <v>1.0168498890000004</v>
      </c>
    </row>
    <row r="21" spans="2:8" ht="15.75" customHeight="1" x14ac:dyDescent="0.3"/>
    <row r="22" spans="2:8" ht="15.75" customHeight="1" x14ac:dyDescent="0.3">
      <c r="B22" s="5" t="s">
        <v>32</v>
      </c>
      <c r="C22" s="9">
        <f>C20</f>
        <v>111.84000000000003</v>
      </c>
      <c r="D22" s="19" t="s">
        <v>33</v>
      </c>
      <c r="E22" s="22">
        <f>C22+C23</f>
        <v>124.84000000000003</v>
      </c>
    </row>
    <row r="23" spans="2:8" ht="15.75" customHeight="1" x14ac:dyDescent="0.3">
      <c r="B23" s="5" t="s">
        <v>34</v>
      </c>
      <c r="C23" s="9">
        <f>C8</f>
        <v>13</v>
      </c>
      <c r="D23" s="18"/>
      <c r="E23" s="18"/>
    </row>
    <row r="24" spans="2:8" ht="15.75" customHeight="1" x14ac:dyDescent="0.3"/>
    <row r="25" spans="2:8" ht="15.75" customHeight="1" x14ac:dyDescent="0.3">
      <c r="C25" s="19">
        <f>E22</f>
        <v>124.84000000000003</v>
      </c>
      <c r="D25" s="19" t="s">
        <v>35</v>
      </c>
      <c r="E25" s="19">
        <f>C25-D28</f>
        <v>123.59160000000003</v>
      </c>
    </row>
    <row r="26" spans="2:8" ht="15.75" customHeight="1" x14ac:dyDescent="0.3">
      <c r="C26" s="18"/>
      <c r="D26" s="18"/>
      <c r="E26" s="18"/>
    </row>
    <row r="27" spans="2:8" ht="15.75" customHeight="1" x14ac:dyDescent="0.3">
      <c r="D27" s="11" t="s">
        <v>36</v>
      </c>
    </row>
    <row r="28" spans="2:8" ht="15.75" customHeight="1" x14ac:dyDescent="0.3">
      <c r="D28" s="11">
        <f>C25*1/100</f>
        <v>1.2484000000000004</v>
      </c>
    </row>
    <row r="29" spans="2:8" ht="15.75" customHeight="1" x14ac:dyDescent="0.3"/>
    <row r="30" spans="2:8" ht="15.75" customHeight="1" x14ac:dyDescent="0.3">
      <c r="C30" s="17">
        <f>E25</f>
        <v>123.59160000000003</v>
      </c>
      <c r="D30" s="19" t="s">
        <v>37</v>
      </c>
      <c r="E30" s="17">
        <f>C30-D33</f>
        <v>92.693700000000021</v>
      </c>
    </row>
    <row r="31" spans="2:8" ht="15.75" customHeight="1" x14ac:dyDescent="0.3">
      <c r="C31" s="18"/>
      <c r="D31" s="18"/>
      <c r="E31" s="18"/>
    </row>
    <row r="32" spans="2:8" ht="15.75" customHeight="1" x14ac:dyDescent="0.3">
      <c r="D32" s="12" t="s">
        <v>38</v>
      </c>
    </row>
    <row r="33" spans="3:5" ht="15.75" customHeight="1" x14ac:dyDescent="0.3">
      <c r="D33" s="12">
        <f>C30*0.25</f>
        <v>30.897900000000007</v>
      </c>
    </row>
    <row r="34" spans="3:5" ht="15.75" customHeight="1" x14ac:dyDescent="0.3"/>
    <row r="35" spans="3:5" ht="15.75" customHeight="1" x14ac:dyDescent="0.3">
      <c r="C35" s="3">
        <f>E30</f>
        <v>92.693700000000021</v>
      </c>
      <c r="D35" s="10" t="s">
        <v>39</v>
      </c>
      <c r="E35" s="3">
        <f>C35</f>
        <v>92.693700000000021</v>
      </c>
    </row>
    <row r="36" spans="3:5" ht="15.75" customHeight="1" x14ac:dyDescent="0.3">
      <c r="D36" s="13"/>
    </row>
    <row r="37" spans="3:5" ht="15.75" customHeight="1" x14ac:dyDescent="0.3">
      <c r="C37" s="3">
        <f>E35</f>
        <v>92.693700000000021</v>
      </c>
      <c r="D37" s="10" t="s">
        <v>40</v>
      </c>
      <c r="E37" s="3">
        <f>C37-D39-D41</f>
        <v>92.137537800000032</v>
      </c>
    </row>
    <row r="38" spans="3:5" ht="15.75" customHeight="1" x14ac:dyDescent="0.3">
      <c r="D38" s="12" t="s">
        <v>41</v>
      </c>
    </row>
    <row r="39" spans="3:5" ht="15.75" customHeight="1" x14ac:dyDescent="0.3">
      <c r="D39" s="12">
        <f>C37*0.3/100</f>
        <v>0.27808110000000008</v>
      </c>
    </row>
    <row r="40" spans="3:5" ht="15.75" customHeight="1" x14ac:dyDescent="0.3">
      <c r="D40" s="11" t="s">
        <v>42</v>
      </c>
    </row>
    <row r="41" spans="3:5" ht="15.75" customHeight="1" x14ac:dyDescent="0.3">
      <c r="D41" s="12">
        <f>C37*0.3/100</f>
        <v>0.27808110000000008</v>
      </c>
    </row>
    <row r="42" spans="3:5" ht="15.75" customHeight="1" x14ac:dyDescent="0.3"/>
    <row r="43" spans="3:5" ht="15.75" customHeight="1" x14ac:dyDescent="0.3">
      <c r="C43" s="3">
        <f>E37</f>
        <v>92.137537800000032</v>
      </c>
      <c r="D43" s="14" t="s">
        <v>43</v>
      </c>
      <c r="E43" s="3">
        <f>C43-D45</f>
        <v>91.676850111000036</v>
      </c>
    </row>
    <row r="44" spans="3:5" ht="15.75" customHeight="1" x14ac:dyDescent="0.3">
      <c r="D44" s="12" t="s">
        <v>44</v>
      </c>
    </row>
    <row r="45" spans="3:5" ht="15.75" customHeight="1" x14ac:dyDescent="0.3">
      <c r="D45" s="12">
        <f>C43*0.5/100</f>
        <v>0.46068768900000018</v>
      </c>
    </row>
    <row r="46" spans="3:5" ht="15.75" customHeight="1" x14ac:dyDescent="0.3"/>
    <row r="47" spans="3:5" ht="15.75" customHeight="1" x14ac:dyDescent="0.3">
      <c r="C47" s="10">
        <f>E43</f>
        <v>91.676850111000036</v>
      </c>
      <c r="D47" s="10" t="s">
        <v>45</v>
      </c>
      <c r="E47" s="10">
        <f>C47</f>
        <v>91.676850111000036</v>
      </c>
    </row>
    <row r="48" spans="3:5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0">
    <mergeCell ref="C30:C31"/>
    <mergeCell ref="D30:D31"/>
    <mergeCell ref="E30:E31"/>
    <mergeCell ref="B3:C3"/>
    <mergeCell ref="F5:F6"/>
    <mergeCell ref="D22:D23"/>
    <mergeCell ref="E22:E23"/>
    <mergeCell ref="C25:C26"/>
    <mergeCell ref="D25:D26"/>
    <mergeCell ref="E25:E26"/>
  </mergeCells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J1000"/>
  <sheetViews>
    <sheetView tabSelected="1" topLeftCell="B1" zoomScale="108" workbookViewId="0">
      <selection activeCell="C7" sqref="C7"/>
    </sheetView>
  </sheetViews>
  <sheetFormatPr baseColWidth="10" defaultColWidth="14.44140625" defaultRowHeight="15" customHeight="1" x14ac:dyDescent="0.3"/>
  <cols>
    <col min="1" max="1" width="10.6640625" customWidth="1"/>
    <col min="2" max="2" width="20.6640625" customWidth="1"/>
    <col min="3" max="3" width="10.6640625" customWidth="1"/>
    <col min="4" max="4" width="26.109375" customWidth="1"/>
    <col min="5" max="6" width="10.6640625" customWidth="1"/>
    <col min="7" max="7" width="15.5546875" customWidth="1"/>
    <col min="8" max="8" width="10.6640625" customWidth="1"/>
    <col min="9" max="9" width="14.5546875" customWidth="1"/>
    <col min="10" max="26" width="10.6640625" customWidth="1"/>
  </cols>
  <sheetData>
    <row r="2" spans="2:10" ht="15" customHeight="1" x14ac:dyDescent="0.3">
      <c r="D2" s="16"/>
    </row>
    <row r="3" spans="2:10" ht="14.4" x14ac:dyDescent="0.3">
      <c r="B3" s="20" t="s">
        <v>58</v>
      </c>
      <c r="C3" s="21"/>
    </row>
    <row r="4" spans="2:10" ht="43.2" x14ac:dyDescent="0.3">
      <c r="B4" s="2" t="s">
        <v>5</v>
      </c>
      <c r="C4" s="2" t="s">
        <v>6</v>
      </c>
      <c r="G4" s="1" t="s">
        <v>1</v>
      </c>
      <c r="H4" s="1" t="s">
        <v>2</v>
      </c>
      <c r="I4" s="1" t="s">
        <v>3</v>
      </c>
      <c r="J4" s="1" t="s">
        <v>4</v>
      </c>
    </row>
    <row r="5" spans="2:10" ht="14.4" x14ac:dyDescent="0.3">
      <c r="B5" s="3" t="s">
        <v>8</v>
      </c>
      <c r="C5" s="3">
        <v>80</v>
      </c>
      <c r="F5" s="19" t="s">
        <v>7</v>
      </c>
      <c r="G5" s="3">
        <v>48</v>
      </c>
      <c r="H5" s="4">
        <v>8</v>
      </c>
      <c r="I5" s="4">
        <f t="shared" ref="I5:I6" si="0">(G5/H5)/1000</f>
        <v>6.0000000000000001E-3</v>
      </c>
      <c r="J5" s="4">
        <v>160</v>
      </c>
    </row>
    <row r="6" spans="2:10" ht="14.4" x14ac:dyDescent="0.3">
      <c r="B6" s="3"/>
      <c r="C6" s="3"/>
      <c r="F6" s="18"/>
      <c r="G6" s="3">
        <v>30</v>
      </c>
      <c r="H6" s="4">
        <v>4</v>
      </c>
      <c r="I6" s="4">
        <f t="shared" si="0"/>
        <v>7.4999999999999997E-3</v>
      </c>
      <c r="J6" s="4">
        <v>200</v>
      </c>
    </row>
    <row r="7" spans="2:10" ht="14.4" x14ac:dyDescent="0.3">
      <c r="B7" s="3" t="s">
        <v>10</v>
      </c>
      <c r="C7" s="3">
        <v>13</v>
      </c>
    </row>
    <row r="8" spans="2:10" ht="14.4" x14ac:dyDescent="0.3">
      <c r="B8" s="3" t="s">
        <v>12</v>
      </c>
      <c r="C8" s="3">
        <v>13</v>
      </c>
      <c r="F8" s="6" t="s">
        <v>11</v>
      </c>
    </row>
    <row r="9" spans="2:10" ht="14.4" x14ac:dyDescent="0.3">
      <c r="B9" s="3" t="s">
        <v>14</v>
      </c>
      <c r="C9" s="3">
        <v>1</v>
      </c>
      <c r="F9" s="5">
        <f>E47</f>
        <v>90.208140561000022</v>
      </c>
      <c r="G9" s="7">
        <v>7.4999999999999997E-3</v>
      </c>
      <c r="H9" s="8">
        <f>F9/G9</f>
        <v>12027.752074800002</v>
      </c>
      <c r="I9" s="3" t="s">
        <v>13</v>
      </c>
    </row>
    <row r="10" spans="2:10" ht="14.4" x14ac:dyDescent="0.3">
      <c r="B10" s="3" t="s">
        <v>15</v>
      </c>
      <c r="C10" s="3">
        <v>0.45</v>
      </c>
    </row>
    <row r="11" spans="2:10" ht="14.4" x14ac:dyDescent="0.3">
      <c r="B11" s="3" t="s">
        <v>17</v>
      </c>
      <c r="C11" s="3">
        <v>0.45</v>
      </c>
      <c r="F11" s="6" t="s">
        <v>16</v>
      </c>
    </row>
    <row r="12" spans="2:10" ht="14.4" x14ac:dyDescent="0.3">
      <c r="B12" s="3" t="s">
        <v>19</v>
      </c>
      <c r="C12" s="3">
        <v>0.15</v>
      </c>
      <c r="F12" s="5">
        <f>H9</f>
        <v>12027.752074800002</v>
      </c>
      <c r="G12" s="7">
        <v>4</v>
      </c>
      <c r="H12" s="8">
        <f>F12/G12</f>
        <v>3006.9380187000006</v>
      </c>
      <c r="I12" s="3" t="s">
        <v>18</v>
      </c>
    </row>
    <row r="13" spans="2:10" ht="14.4" x14ac:dyDescent="0.3">
      <c r="B13" s="3" t="s">
        <v>20</v>
      </c>
      <c r="C13" s="3">
        <v>0.4</v>
      </c>
    </row>
    <row r="14" spans="2:10" ht="14.4" x14ac:dyDescent="0.3">
      <c r="B14" s="3" t="s">
        <v>22</v>
      </c>
      <c r="C14" s="3">
        <v>0.04</v>
      </c>
      <c r="F14" s="6" t="s">
        <v>21</v>
      </c>
    </row>
    <row r="15" spans="2:10" ht="14.4" x14ac:dyDescent="0.3">
      <c r="B15" s="3" t="s">
        <v>24</v>
      </c>
      <c r="C15" s="3">
        <v>0.23</v>
      </c>
      <c r="F15" s="5">
        <f>H12</f>
        <v>3006.9380187000006</v>
      </c>
      <c r="G15" s="7">
        <v>200</v>
      </c>
      <c r="H15" s="8">
        <f>F15/G15</f>
        <v>15.034690093500004</v>
      </c>
      <c r="I15" s="3" t="s">
        <v>23</v>
      </c>
    </row>
    <row r="16" spans="2:10" ht="14.4" x14ac:dyDescent="0.3">
      <c r="B16" s="3" t="s">
        <v>48</v>
      </c>
      <c r="C16" s="3">
        <v>0.12</v>
      </c>
      <c r="H16" s="3">
        <f>ROUND(H15,1)</f>
        <v>15</v>
      </c>
      <c r="I16" s="3" t="s">
        <v>23</v>
      </c>
    </row>
    <row r="17" spans="2:8" ht="14.4" x14ac:dyDescent="0.3">
      <c r="B17" s="3" t="s">
        <v>25</v>
      </c>
      <c r="C17" s="3">
        <v>10</v>
      </c>
    </row>
    <row r="18" spans="2:8" ht="14.4" x14ac:dyDescent="0.3">
      <c r="B18" s="3" t="s">
        <v>57</v>
      </c>
      <c r="C18" s="3">
        <v>4</v>
      </c>
      <c r="G18" s="2" t="s">
        <v>26</v>
      </c>
      <c r="H18" s="2" t="s">
        <v>27</v>
      </c>
    </row>
    <row r="19" spans="2:8" ht="14.4" x14ac:dyDescent="0.3">
      <c r="G19" s="2" t="s">
        <v>28</v>
      </c>
      <c r="H19" s="3">
        <f>D28</f>
        <v>1.2284000000000004</v>
      </c>
    </row>
    <row r="20" spans="2:8" ht="14.4" x14ac:dyDescent="0.3">
      <c r="B20" s="5" t="s">
        <v>29</v>
      </c>
      <c r="C20" s="9">
        <f>SUM(C5:C18)-C8</f>
        <v>109.84000000000003</v>
      </c>
      <c r="D20" s="10" t="s">
        <v>30</v>
      </c>
      <c r="E20" s="10">
        <f>C20</f>
        <v>109.84000000000003</v>
      </c>
      <c r="G20" s="2" t="s">
        <v>31</v>
      </c>
      <c r="H20" s="3">
        <f>D39+D41+D45</f>
        <v>1.0005594390000003</v>
      </c>
    </row>
    <row r="21" spans="2:8" ht="15.75" customHeight="1" x14ac:dyDescent="0.3"/>
    <row r="22" spans="2:8" ht="15.75" customHeight="1" x14ac:dyDescent="0.3">
      <c r="B22" s="5" t="s">
        <v>32</v>
      </c>
      <c r="C22" s="9">
        <f>C20</f>
        <v>109.84000000000003</v>
      </c>
      <c r="D22" s="19" t="s">
        <v>33</v>
      </c>
      <c r="E22" s="22">
        <f>C22+C23</f>
        <v>122.84000000000003</v>
      </c>
    </row>
    <row r="23" spans="2:8" ht="15.75" customHeight="1" x14ac:dyDescent="0.3">
      <c r="B23" s="5" t="s">
        <v>34</v>
      </c>
      <c r="C23" s="9">
        <f>C8</f>
        <v>13</v>
      </c>
      <c r="D23" s="18"/>
      <c r="E23" s="18"/>
    </row>
    <row r="24" spans="2:8" ht="15.75" customHeight="1" x14ac:dyDescent="0.3"/>
    <row r="25" spans="2:8" ht="15.75" customHeight="1" x14ac:dyDescent="0.3">
      <c r="C25" s="19">
        <f>E22</f>
        <v>122.84000000000003</v>
      </c>
      <c r="D25" s="19" t="s">
        <v>35</v>
      </c>
      <c r="E25" s="19">
        <f>C25-D28</f>
        <v>121.61160000000004</v>
      </c>
    </row>
    <row r="26" spans="2:8" ht="15.75" customHeight="1" x14ac:dyDescent="0.3">
      <c r="C26" s="18"/>
      <c r="D26" s="18"/>
      <c r="E26" s="18"/>
    </row>
    <row r="27" spans="2:8" ht="15.75" customHeight="1" x14ac:dyDescent="0.3">
      <c r="D27" s="11" t="s">
        <v>36</v>
      </c>
    </row>
    <row r="28" spans="2:8" ht="15.75" customHeight="1" x14ac:dyDescent="0.3">
      <c r="D28" s="11">
        <f>C25*1/100</f>
        <v>1.2284000000000004</v>
      </c>
    </row>
    <row r="29" spans="2:8" ht="15.75" customHeight="1" x14ac:dyDescent="0.3"/>
    <row r="30" spans="2:8" ht="15.75" customHeight="1" x14ac:dyDescent="0.3">
      <c r="C30" s="17">
        <f>E25</f>
        <v>121.61160000000004</v>
      </c>
      <c r="D30" s="19" t="s">
        <v>37</v>
      </c>
      <c r="E30" s="17">
        <f>C30-D33</f>
        <v>91.208700000000022</v>
      </c>
    </row>
    <row r="31" spans="2:8" ht="15.75" customHeight="1" x14ac:dyDescent="0.3">
      <c r="C31" s="18"/>
      <c r="D31" s="18"/>
      <c r="E31" s="18"/>
    </row>
    <row r="32" spans="2:8" ht="15.75" customHeight="1" x14ac:dyDescent="0.3">
      <c r="D32" s="12" t="s">
        <v>38</v>
      </c>
    </row>
    <row r="33" spans="3:5" ht="15.75" customHeight="1" x14ac:dyDescent="0.3">
      <c r="D33" s="12">
        <f>C30*0.25</f>
        <v>30.40290000000001</v>
      </c>
    </row>
    <row r="34" spans="3:5" ht="15.75" customHeight="1" x14ac:dyDescent="0.3"/>
    <row r="35" spans="3:5" ht="15.75" customHeight="1" x14ac:dyDescent="0.3">
      <c r="C35" s="3">
        <f>E30</f>
        <v>91.208700000000022</v>
      </c>
      <c r="D35" s="10" t="s">
        <v>39</v>
      </c>
      <c r="E35" s="3">
        <f>C35</f>
        <v>91.208700000000022</v>
      </c>
    </row>
    <row r="36" spans="3:5" ht="15.75" customHeight="1" x14ac:dyDescent="0.3">
      <c r="D36" s="13"/>
    </row>
    <row r="37" spans="3:5" ht="15.75" customHeight="1" x14ac:dyDescent="0.3">
      <c r="C37" s="3">
        <f>E35</f>
        <v>91.208700000000022</v>
      </c>
      <c r="D37" s="10" t="s">
        <v>40</v>
      </c>
      <c r="E37" s="3">
        <f>C37-D39-D41</f>
        <v>90.661447800000019</v>
      </c>
    </row>
    <row r="38" spans="3:5" ht="15.75" customHeight="1" x14ac:dyDescent="0.3">
      <c r="D38" s="12" t="s">
        <v>41</v>
      </c>
    </row>
    <row r="39" spans="3:5" ht="15.75" customHeight="1" x14ac:dyDescent="0.3">
      <c r="D39" s="12">
        <f>C37*0.3/100</f>
        <v>0.27362610000000009</v>
      </c>
    </row>
    <row r="40" spans="3:5" ht="15.75" customHeight="1" x14ac:dyDescent="0.3">
      <c r="D40" s="11" t="s">
        <v>42</v>
      </c>
    </row>
    <row r="41" spans="3:5" ht="15.75" customHeight="1" x14ac:dyDescent="0.3">
      <c r="D41" s="12">
        <f>C37*0.3/100</f>
        <v>0.27362610000000009</v>
      </c>
    </row>
    <row r="42" spans="3:5" ht="15.75" customHeight="1" x14ac:dyDescent="0.3"/>
    <row r="43" spans="3:5" ht="15.75" customHeight="1" x14ac:dyDescent="0.3">
      <c r="C43" s="3">
        <f>E37</f>
        <v>90.661447800000019</v>
      </c>
      <c r="D43" s="14" t="s">
        <v>43</v>
      </c>
      <c r="E43" s="3">
        <f>C43-D45</f>
        <v>90.208140561000022</v>
      </c>
    </row>
    <row r="44" spans="3:5" ht="15.75" customHeight="1" x14ac:dyDescent="0.3">
      <c r="D44" s="12" t="s">
        <v>44</v>
      </c>
    </row>
    <row r="45" spans="3:5" ht="15.75" customHeight="1" x14ac:dyDescent="0.3">
      <c r="D45" s="12">
        <f>C43*0.5/100</f>
        <v>0.45330723900000008</v>
      </c>
    </row>
    <row r="46" spans="3:5" ht="15.75" customHeight="1" x14ac:dyDescent="0.3"/>
    <row r="47" spans="3:5" ht="15.75" customHeight="1" x14ac:dyDescent="0.3">
      <c r="C47" s="10">
        <f>E43</f>
        <v>90.208140561000022</v>
      </c>
      <c r="D47" s="10" t="s">
        <v>45</v>
      </c>
      <c r="E47" s="10">
        <f>C47</f>
        <v>90.208140561000022</v>
      </c>
    </row>
    <row r="48" spans="3:5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0">
    <mergeCell ref="C30:C31"/>
    <mergeCell ref="D30:D31"/>
    <mergeCell ref="E30:E31"/>
    <mergeCell ref="B3:C3"/>
    <mergeCell ref="F5:F6"/>
    <mergeCell ref="D22:D23"/>
    <mergeCell ref="E22:E23"/>
    <mergeCell ref="C25:C26"/>
    <mergeCell ref="D25:D26"/>
    <mergeCell ref="E25:E26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GALLETA DE QUINUA</vt:lpstr>
      <vt:lpstr>GALLETA KIWICHA</vt:lpstr>
      <vt:lpstr>GALLETA DE MACA</vt:lpstr>
      <vt:lpstr>GALLETAS CAJAMARQUINAS</vt:lpstr>
      <vt:lpstr>GALLETA DE CEREALES</vt:lpstr>
      <vt:lpstr>GALLETA DE INTEGRALES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Delfin Estanis Roque Mullisaca</cp:lastModifiedBy>
  <dcterms:created xsi:type="dcterms:W3CDTF">2019-09-25T00:56:10Z</dcterms:created>
  <dcterms:modified xsi:type="dcterms:W3CDTF">2026-08-24T20:29:18Z</dcterms:modified>
</cp:coreProperties>
</file>